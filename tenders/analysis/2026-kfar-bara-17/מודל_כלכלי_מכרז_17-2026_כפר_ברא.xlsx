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קרא" sheetId="1" state="visible" r:id="rId3"/>
    <sheet name="הנחות" sheetId="2" state="visible" r:id="rId4"/>
    <sheet name="רכיבי בסיס" sheetId="3" state="visible" r:id="rId5"/>
    <sheet name="אופציונליים" sheetId="4" state="visible" r:id="rId6"/>
    <sheet name="ניקוד ותחרות" sheetId="5" state="visible" r:id="rId7"/>
    <sheet name="תזרים" sheetId="6" state="visible" r:id="rId8"/>
    <sheet name="מדדי שוק" sheetId="7" state="visible" r:id="rId9"/>
    <sheet name="החלטת הגשה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10"/>
            <rFont val="FreeSans"/>
            <family val="2"/>
          </rPr>
          <t xml:space="preserve">הנחה – כמות לא ידועה (שאלות הבהרה </t>
        </r>
        <r>
          <rPr>
            <sz val="10"/>
            <rFont val="Arial"/>
            <family val="2"/>
          </rPr>
          <t xml:space="preserve">6, 39).</t>
        </r>
      </text>
    </comment>
    <comment ref="E13" authorId="0">
      <text>
        <r>
          <rPr>
            <sz val="10"/>
            <rFont val="FreeSans"/>
            <family val="2"/>
          </rPr>
          <t xml:space="preserve">הנחה – כמות לא ידועה (שאלות הבהרה </t>
        </r>
        <r>
          <rPr>
            <sz val="10"/>
            <rFont val="Arial"/>
            <family val="2"/>
          </rPr>
          <t xml:space="preserve">6, 39).</t>
        </r>
      </text>
    </comment>
    <comment ref="E15" authorId="0">
      <text>
        <r>
          <rPr>
            <sz val="10"/>
            <rFont val="FreeSans"/>
            <family val="2"/>
          </rPr>
          <t xml:space="preserve">הנחה – כמות לא ידועה (שאלות הבהרה </t>
        </r>
        <r>
          <rPr>
            <sz val="10"/>
            <rFont val="Arial"/>
            <family val="2"/>
          </rPr>
          <t xml:space="preserve">6, 39).</t>
        </r>
      </text>
    </comment>
    <comment ref="E16" authorId="0">
      <text>
        <r>
          <rPr>
            <sz val="10"/>
            <rFont val="FreeSans"/>
            <family val="2"/>
          </rPr>
          <t xml:space="preserve">הנחה – כמות לא ידועה (שאלות הבהרה </t>
        </r>
        <r>
          <rPr>
            <sz val="10"/>
            <rFont val="Arial"/>
            <family val="2"/>
          </rPr>
          <t xml:space="preserve">6, 39).</t>
        </r>
      </text>
    </comment>
    <comment ref="E17" authorId="0">
      <text>
        <r>
          <rPr>
            <sz val="10"/>
            <rFont val="FreeSans"/>
            <family val="2"/>
          </rPr>
          <t xml:space="preserve">הנחה – כמות לא ידועה (שאלות הבהרה </t>
        </r>
        <r>
          <rPr>
            <sz val="10"/>
            <rFont val="Arial"/>
            <family val="2"/>
          </rPr>
          <t xml:space="preserve">6, 39).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כשאנחנו הזולים: ציון הקמה = </t>
        </r>
        <r>
          <rPr>
            <sz val="10"/>
            <rFont val="Arial"/>
            <family val="2"/>
          </rPr>
          <t xml:space="preserve">48 × A/B. </t>
        </r>
        <r>
          <rPr>
            <sz val="10"/>
            <rFont val="FreeSans"/>
            <family val="2"/>
          </rPr>
          <t xml:space="preserve">נקודה אחת </t>
        </r>
        <r>
          <rPr>
            <sz val="10"/>
            <rFont val="Arial"/>
            <family val="2"/>
          </rPr>
          <t xml:space="preserve">= B/48 ₪, </t>
        </r>
        <r>
          <rPr>
            <sz val="10"/>
            <rFont val="FreeSans"/>
            <family val="2"/>
          </rPr>
          <t xml:space="preserve">תשלום חד-פעמי</t>
        </r>
        <r>
          <rPr>
            <sz val="10"/>
            <rFont val="Arial"/>
            <family val="2"/>
          </rPr>
          <t xml:space="preserve">.</t>
        </r>
      </text>
    </comment>
    <comment ref="B16" authorId="0">
      <text>
        <r>
          <rPr>
            <sz val="10"/>
            <rFont val="FreeSans"/>
            <family val="2"/>
          </rPr>
          <t xml:space="preserve">ציון שירות = </t>
        </r>
        <r>
          <rPr>
            <sz val="10"/>
            <rFont val="Arial"/>
            <family val="2"/>
          </rPr>
          <t xml:space="preserve">12 × A/B. </t>
        </r>
        <r>
          <rPr>
            <sz val="10"/>
            <rFont val="FreeSans"/>
            <family val="2"/>
          </rPr>
          <t xml:space="preserve">נקודה אחת </t>
        </r>
        <r>
          <rPr>
            <sz val="10"/>
            <rFont val="Arial"/>
            <family val="2"/>
          </rPr>
          <t xml:space="preserve">= B/12 ₪ </t>
        </r>
        <r>
          <rPr>
            <sz val="10"/>
            <rFont val="FreeSans"/>
            <family val="2"/>
          </rPr>
          <t xml:space="preserve">לשנה, כפול מספר השנים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<sst xmlns="http://schemas.openxmlformats.org/spreadsheetml/2006/main" count="258" uniqueCount="236">
  <si>
    <t xml:space="preserve">מודל כלכלי – מכרז מסגרת 17/2026, מועצה מקומית כפר ברא (שירותי IT מנוהלים)</t>
  </si>
  <si>
    <t xml:space="preserve">מבנה ההצעה במכרז: (1) הנחה אחידה על מחירים חודשיים מרביים של 14 רכיבי בסיס; (2) הנחה על רכיבים אופציונליים; (3) דמי הקמה חד-פעמיים בש"ח, בלי תקרה; (4) הנחה על שעת תמיכה (250 ₪) ועל מחירי מדף.</t>
  </si>
  <si>
    <t xml:space="preserve">ניקוד: מחיר 60 = 80% דמי הקמה + 20% מחיר שירות שנתי (נוסחת הזול ÷ הנבחן); איכות 40. העדפת ספק מקומי בפער של עד 5%.</t>
  </si>
  <si>
    <t xml:space="preserve">מוסכמות צבע:</t>
  </si>
  <si>
    <t xml:space="preserve">טקסט כחול = קלט שמזינים ידנית.</t>
  </si>
  <si>
    <t xml:space="preserve">רקע צהוב = הנחה שצריך לאמת מול נתוני HOT (עלויות, כמויות, הצעות מתחרים).</t>
  </si>
  <si>
    <t xml:space="preserve">טקסט שחור = נוסחה. טקסט ירוק = קישור מגיליון אחר.</t>
  </si>
  <si>
    <t xml:space="preserve">סדר עבודה:</t>
  </si>
  <si>
    <t xml:space="preserve">1. הנחות – אינפלציה, שער דולר, פיגור תשלום, תקופה, עלות הקמה.</t>
  </si>
  <si>
    <t xml:space="preserve">2. רכיבי בסיס – כמויות צפויות ועלות חודשית לכל רכיב. עמודת "מרווח" מראה רכיבים שמפסידים כבר במחיר המרבי.</t>
  </si>
  <si>
    <t xml:space="preserve">3. אופציונליים – כמות צפויה (ברירת מחדל 0) ועלות.</t>
  </si>
  <si>
    <t xml:space="preserve">4. ניקוד ותחרות – דמי הקמה ושיעור הנחה שלנו ושל המתחרים, ציוני איכות, ספק מקומי. כולל טבלת רגישות לדמי ההקמה.</t>
  </si>
  <si>
    <t xml:space="preserve">5. תזרים – 60 חודשים: רווח, NPV, חשיפה מרבית, שחיקת מרווח מאינפלציה (המחירים נומינליים ל-5 שנים).</t>
  </si>
  <si>
    <t xml:space="preserve">הנחות</t>
  </si>
  <si>
    <t xml:space="preserve">הנחה</t>
  </si>
  <si>
    <t xml:space="preserve">ערך</t>
  </si>
  <si>
    <t xml:space="preserve">הסבר / מקור</t>
  </si>
  <si>
    <t xml:space="preserve">שיעור הנחה על רכיבי הבסיס (ההצעה שלנו)</t>
  </si>
  <si>
    <t xml:space="preserve">נספח מ' 3 פרק 1. 0% = המחיר המרבי.</t>
  </si>
  <si>
    <t xml:space="preserve">שיעור הנחה על רכיבים אופציונליים</t>
  </si>
  <si>
    <t xml:space="preserve">נספח מ' 3 פרק 2. לא נכלל בשקלול (לבדוק בתשובות ההבהרה).</t>
  </si>
  <si>
    <t xml:space="preserve">דמי הקמה – שירותי בסיס (ההצעה שלנו, ₪)</t>
  </si>
  <si>
    <t xml:space="preserve">נספח מ' 3 "דמי הקמה" שורה 1. 80% מציון המחיר! ראו גיליון ניקוד.</t>
  </si>
  <si>
    <t xml:space="preserve">עלות ההקמה בפועל (מיגרציה, התקנות, הדרכות)</t>
  </si>
  <si>
    <t xml:space="preserve">הערכה: כ-150 שעות + ציוד הקמה.</t>
  </si>
  <si>
    <t xml:space="preserve">עלות הכנת הצעה, ראיון ומסמכים</t>
  </si>
  <si>
    <t xml:space="preserve">רכישת מסמכים 1,500 ₪ + זמן צוות.</t>
  </si>
  <si>
    <t xml:space="preserve">חודש עלייה לאוויר (מתחיל חיוב חודשי)</t>
  </si>
  <si>
    <t xml:space="preserve">הנחה.</t>
  </si>
  <si>
    <t xml:space="preserve">שנות אופציה צפויות (0–2)</t>
  </si>
  <si>
    <t xml:space="preserve">סעיף 13: 3 שנים + 2 × שנה.</t>
  </si>
  <si>
    <t xml:space="preserve">חודש סיום מוקדם (0 = ללא)</t>
  </si>
  <si>
    <t xml:space="preserve">סעיף 13 (21.2): ביטול בהודעה של 30 יום.</t>
  </si>
  <si>
    <t xml:space="preserve">פיגור תשלום בחודשים</t>
  </si>
  <si>
    <t xml:space="preserve">הסכם 19.ד–ה: עד 15 יום לאישור + שוטף 45.</t>
  </si>
  <si>
    <t xml:space="preserve">אינפלציה שנתית (על עלויות בש"ח)</t>
  </si>
  <si>
    <t xml:space="preserve">המחירים נומינליים ל-5 שנים (נספח מ' 3) – העלויות עולות, ההכנסה לא.</t>
  </si>
  <si>
    <t xml:space="preserve">שינוי שנתי בעלויות הצמודות לדולר</t>
  </si>
  <si>
    <t xml:space="preserve">מחירוני Microsoft/ESET/Fortinet ושער הדולר. Microsoft העלתה מחירים ב-07/2026.</t>
  </si>
  <si>
    <t xml:space="preserve">שער דולר (₪)</t>
  </si>
  <si>
    <t xml:space="preserve">בנק ישראל, 09/10/2026 (fx-rate.json בריפו).</t>
  </si>
  <si>
    <t xml:space="preserve">שיעור היוון שנתי</t>
  </si>
  <si>
    <t xml:space="preserve">עלות הון.</t>
  </si>
  <si>
    <t xml:space="preserve">שעות תמיכה לפי קריאה בחודש</t>
  </si>
  <si>
    <t xml:space="preserve">הנחה. מעבר לביקור השבועי הכלול ברכיב 1.</t>
  </si>
  <si>
    <t xml:space="preserve">הנחה על שעת תמיכה (מ-250 ₪)</t>
  </si>
  <si>
    <t xml:space="preserve">נספח מ' 3 פרק "תמיכה טכנית".</t>
  </si>
  <si>
    <t xml:space="preserve">עלות שעת טכנאי</t>
  </si>
  <si>
    <t xml:space="preserve">הערכה, כולל נסיעה.</t>
  </si>
  <si>
    <t xml:space="preserve">רכש מוצרים לפי מחירי מדף – לחודש</t>
  </si>
  <si>
    <t xml:space="preserve">הערכה.</t>
  </si>
  <si>
    <t xml:space="preserve">הנחה ממחירי המדף שנציע</t>
  </si>
  <si>
    <t xml:space="preserve">נספח מ' 3 סעיף 7.</t>
  </si>
  <si>
    <t xml:space="preserve">מרווח רכש מול מחיר מדף (לפני הנחה)</t>
  </si>
  <si>
    <t xml:space="preserve">הערכה: מחיר הספק נמוך ב-15% ממחיר המדף.</t>
  </si>
  <si>
    <t xml:space="preserve">נגזרות</t>
  </si>
  <si>
    <t xml:space="preserve">חודש סיום ההתקשרות</t>
  </si>
  <si>
    <t xml:space="preserve">הכנסה חודשית מתמיכה ומרכש</t>
  </si>
  <si>
    <t xml:space="preserve">עלות חודשית לתמיכה ורכש</t>
  </si>
  <si>
    <t xml:space="preserve">רכיבי שירות בסיס חודשי (נספח מ' 3 פרק 1)</t>
  </si>
  <si>
    <t xml:space="preserve">#</t>
  </si>
  <si>
    <t xml:space="preserve">רכיב</t>
  </si>
  <si>
    <t xml:space="preserve">מחיר חודשי מרבי ליחידה</t>
  </si>
  <si>
    <t xml:space="preserve">כמות בטופס</t>
  </si>
  <si>
    <t xml:space="preserve">כמות צפויה</t>
  </si>
  <si>
    <t xml:space="preserve">עלות שלנו ליחידה לחודש</t>
  </si>
  <si>
    <t xml:space="preserve">חלק צמוד דולר</t>
  </si>
  <si>
    <t xml:space="preserve">מחיר אחרי הנחה</t>
  </si>
  <si>
    <t xml:space="preserve">הכנסה חודשית</t>
  </si>
  <si>
    <t xml:space="preserve">עלות חודשית</t>
  </si>
  <si>
    <t xml:space="preserve">רווח חודשי</t>
  </si>
  <si>
    <t xml:space="preserve">מרווח</t>
  </si>
  <si>
    <t xml:space="preserve">הערה / הנחת עלות</t>
  </si>
  <si>
    <t xml:space="preserve">שירות IT מנוהל מקצה לקצה (כולל ביקור שבועי 8 ש')</t>
  </si>
  <si>
    <t xml:space="preserve">ביקור שבועי: 4.33 × 8 ש' × ~120 ₪ = 4,160 ₪, ועוד מוקד 24/7. כנראה הפסדי.</t>
  </si>
  <si>
    <t xml:space="preserve">אחסון שרת DC (2 לשרידות)</t>
  </si>
  <si>
    <t xml:space="preserve">מכונה וירטואלית + רישוי Windows Server.</t>
  </si>
  <si>
    <t xml:space="preserve">אחסון שרת FS 5TB (2 ב-DFS, NVMe)</t>
  </si>
  <si>
    <t xml:space="preserve">5TB NVMe ב-200 ₪ לחודש – כנראה מתחת לעלות.</t>
  </si>
  <si>
    <t xml:space="preserve">אחסון שרת TS (עד 35 משתמשים)</t>
  </si>
  <si>
    <t xml:space="preserve">כולל רישוי RDS ל-35 משתמשים (SPLA, צמוד דולר) – כנראה מתחת לעלות.</t>
  </si>
  <si>
    <t xml:space="preserve">אבטחת מידע לתחנות (ESET)</t>
  </si>
  <si>
    <t xml:space="preserve">לפי תחנה. כמות צפויה: הנחה.</t>
  </si>
  <si>
    <t xml:space="preserve">אחסון שרת הדפסות</t>
  </si>
  <si>
    <t xml:space="preserve">ניהול ציוד תקשורת (מתגים, Firewall, אלחוטי)</t>
  </si>
  <si>
    <t xml:space="preserve">מרכזיית IP – 35 שלוחות, 10,000 דקות, הקלטה, אפליקציה</t>
  </si>
  <si>
    <t xml:space="preserve">פלטפורמת HOT + דקות.</t>
  </si>
  <si>
    <t xml:space="preserve">גיבוי יומי לאתר מרוחק (כלל השרתים)</t>
  </si>
  <si>
    <t xml:space="preserve">Microsoft 365 Business Standard</t>
  </si>
  <si>
    <t xml:space="preserve">מחירון $14 למשתמש מ-07/2026 × שער. מרווח של כ-5% בלבד.</t>
  </si>
  <si>
    <t xml:space="preserve">קו מטרו IPVPN 300/150, כולל VDOM ו-2 חוות</t>
  </si>
  <si>
    <t xml:space="preserve">עלות On-Net של HOT – הערכה.</t>
  </si>
  <si>
    <t xml:space="preserve">שכירות מכשיר טלפון IP מתקדם</t>
  </si>
  <si>
    <t xml:space="preserve">מכשיר ~450 ₪ ÷ 36 + תחזוקה.</t>
  </si>
  <si>
    <t xml:space="preserve">שכירות מתג מנוהל 48 PoE</t>
  </si>
  <si>
    <t xml:space="preserve">מתג ~8,000 ₪ ÷ 36 + תמיכה. מרווח דק.</t>
  </si>
  <si>
    <t xml:space="preserve">שכירות נקודת גישה מנוהלת</t>
  </si>
  <si>
    <t xml:space="preserve">AP ~1,800 ₪ ÷ 36 + רישוי.</t>
  </si>
  <si>
    <t xml:space="preserve">סה"כ חודשי</t>
  </si>
  <si>
    <t xml:space="preserve">מזה עלות צמודת דולר</t>
  </si>
  <si>
    <t xml:space="preserve">מזה עלות שקלית</t>
  </si>
  <si>
    <t xml:space="preserve">מחיר שירות שנתי לשקלול (12 × מחיר אחרי הנחה × כמות בטופס)</t>
  </si>
  <si>
    <t xml:space="preserve">מחיר שירות שנתי לפי מחירים מרביים (לפני הנחה)</t>
  </si>
  <si>
    <t xml:space="preserve">רכיבים אופציונליים (נספח מ' 3 פרק 2) – ברירת מחדל: לא מוזמנים</t>
  </si>
  <si>
    <t xml:space="preserve">יחידה</t>
  </si>
  <si>
    <t xml:space="preserve">מחיר חודשי בטופס</t>
  </si>
  <si>
    <t xml:space="preserve">עלות שלנו ליחידה</t>
  </si>
  <si>
    <t xml:space="preserve">הערה</t>
  </si>
  <si>
    <t xml:space="preserve">Microsoft 365 Business Premium</t>
  </si>
  <si>
    <t xml:space="preserve">משתמש</t>
  </si>
  <si>
    <t xml:space="preserve">מחירון $22.</t>
  </si>
  <si>
    <t xml:space="preserve">Compliance / Purview for BP</t>
  </si>
  <si>
    <t xml:space="preserve">Exchange Online Archive</t>
  </si>
  <si>
    <t xml:space="preserve">Cloud-to-Cloud Backup – Mail</t>
  </si>
  <si>
    <t xml:space="preserve">תיבה</t>
  </si>
  <si>
    <t xml:space="preserve">–</t>
  </si>
  <si>
    <t xml:space="preserve">קו תקשורת גיבוי לאתר הראשי</t>
  </si>
  <si>
    <t xml:space="preserve">חודשי</t>
  </si>
  <si>
    <t xml:space="preserve">ללא מספר בטופס.</t>
  </si>
  <si>
    <t xml:space="preserve">אחסון נוסף Microsoft 365</t>
  </si>
  <si>
    <t xml:space="preserve">1TB</t>
  </si>
  <si>
    <t xml:space="preserve">שעת תמיכה באתר</t>
  </si>
  <si>
    <t xml:space="preserve">שעה</t>
  </si>
  <si>
    <t xml:space="preserve">סותר את 250 ₪ בפרק התמיכה.</t>
  </si>
  <si>
    <t xml:space="preserve">אחסון שרת Collector ל-SOC/SIEM</t>
  </si>
  <si>
    <t xml:space="preserve">שרת</t>
  </si>
  <si>
    <t xml:space="preserve">SOC/SIEM מנוהל</t>
  </si>
  <si>
    <t xml:space="preserve">24/7 או שעות פעילות – לא ברור.</t>
  </si>
  <si>
    <t xml:space="preserve">FortiNAC Cloud או שווה ערך</t>
  </si>
  <si>
    <t xml:space="preserve">מערכת</t>
  </si>
  <si>
    <t xml:space="preserve">FortiAnalyzer Cloud או שווה ערך</t>
  </si>
  <si>
    <t xml:space="preserve">FortiManager Cloud או שווה ערך</t>
  </si>
  <si>
    <t xml:space="preserve">NTA / NPM</t>
  </si>
  <si>
    <t xml:space="preserve">שלוחה נוספת למרכזייה</t>
  </si>
  <si>
    <t xml:space="preserve">שלוחה</t>
  </si>
  <si>
    <t xml:space="preserve">Call Center</t>
  </si>
  <si>
    <t xml:space="preserve">מומחה אבטחת מידע (CISO)</t>
  </si>
  <si>
    <t xml:space="preserve">סה"כ</t>
  </si>
  <si>
    <t xml:space="preserve">ניקוד ותחרות</t>
  </si>
  <si>
    <r>
      <rPr>
        <sz val="11"/>
        <color theme="1"/>
        <rFont val="FreeSans"/>
        <family val="2"/>
      </rPr>
      <t xml:space="preserve">מחיר </t>
    </r>
    <r>
      <rPr>
        <sz val="11"/>
        <color theme="1"/>
        <rFont val="Calibri"/>
        <family val="2"/>
        <charset val="1"/>
      </rPr>
      <t xml:space="preserve">60 = 0.6 × (80 × </t>
    </r>
    <r>
      <rPr>
        <sz val="11"/>
        <color theme="1"/>
        <rFont val="FreeSans"/>
        <family val="2"/>
      </rPr>
      <t xml:space="preserve">הקמה זולה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FreeSans"/>
        <family val="2"/>
      </rPr>
      <t xml:space="preserve">הקמה נבחנת </t>
    </r>
    <r>
      <rPr>
        <sz val="11"/>
        <color theme="1"/>
        <rFont val="Calibri"/>
        <family val="2"/>
        <charset val="1"/>
      </rPr>
      <t xml:space="preserve">+ 20 × </t>
    </r>
    <r>
      <rPr>
        <sz val="11"/>
        <color theme="1"/>
        <rFont val="FreeSans"/>
        <family val="2"/>
      </rPr>
      <t xml:space="preserve">שירות שנתי זול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FreeSans"/>
        <family val="2"/>
      </rPr>
      <t xml:space="preserve">שירות שנתי נבחן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FreeSans"/>
        <family val="2"/>
      </rPr>
      <t xml:space="preserve">איכות </t>
    </r>
    <r>
      <rPr>
        <sz val="11"/>
        <color theme="1"/>
        <rFont val="Calibri"/>
        <family val="2"/>
        <charset val="1"/>
      </rPr>
      <t xml:space="preserve">40.</t>
    </r>
  </si>
  <si>
    <t xml:space="preserve">מציע</t>
  </si>
  <si>
    <t xml:space="preserve">דמי הקמה (₪)</t>
  </si>
  <si>
    <t xml:space="preserve">הנחה על הבסיס</t>
  </si>
  <si>
    <t xml:space="preserve">מחיר שירות שנתי</t>
  </si>
  <si>
    <t xml:space="preserve">ציון הקמה (מ-80)</t>
  </si>
  <si>
    <t xml:space="preserve">ציון שירות (מ-20)</t>
  </si>
  <si>
    <t xml:space="preserve">ציון מחיר (מ-60)</t>
  </si>
  <si>
    <t xml:space="preserve">ניסיון (מ-20)</t>
  </si>
  <si>
    <t xml:space="preserve">ראיון (מ-10)</t>
  </si>
  <si>
    <t xml:space="preserve">המלצות (מ-10)</t>
  </si>
  <si>
    <t xml:space="preserve">ספק מקומי (1/0)</t>
  </si>
  <si>
    <t xml:space="preserve">דירוג</t>
  </si>
  <si>
    <t xml:space="preserve">זוכה צפוי</t>
  </si>
  <si>
    <t xml:space="preserve">HOT (אנחנו)</t>
  </si>
  <si>
    <t xml:space="preserve">מתחרה 1</t>
  </si>
  <si>
    <t xml:space="preserve">מתחרה 2</t>
  </si>
  <si>
    <t xml:space="preserve">מתחרה 3 (מקומי?)</t>
  </si>
  <si>
    <t xml:space="preserve">הציון הגבוה ביותר</t>
  </si>
  <si>
    <t xml:space="preserve">ציון ספק מקומי מוביל</t>
  </si>
  <si>
    <t xml:space="preserve">ספק מקומי זוכה בהעדפה?</t>
  </si>
  <si>
    <t xml:space="preserve">מחיר נקודה אחת (₪)</t>
  </si>
  <si>
    <t xml:space="preserve">דרך דמי ההקמה</t>
  </si>
  <si>
    <t xml:space="preserve">פי כמה זול יותר לקנות ניקוד דרך דמי ההקמה</t>
  </si>
  <si>
    <t xml:space="preserve">דרך הנחה על הבסיס (על כל החוזה)</t>
  </si>
  <si>
    <t xml:space="preserve">רגישות: דמי ההקמה שלנו מול הציון שלנו</t>
  </si>
  <si>
    <t xml:space="preserve">דמי הקמה שנבחן</t>
  </si>
  <si>
    <t xml:space="preserve">ציון הקמה</t>
  </si>
  <si>
    <t xml:space="preserve">ציון מחיר</t>
  </si>
  <si>
    <t xml:space="preserve">ציון כולל</t>
  </si>
  <si>
    <t xml:space="preserve">פער מול המוביל האחר</t>
  </si>
  <si>
    <t xml:space="preserve">הכנסה מוותרת מול 15,000 ₪</t>
  </si>
  <si>
    <t xml:space="preserve">שימו לב: בנוסחת "הזול ÷ הנבחן" הצעת הקמה סמלית מוחקת כמעט את כל 48 הנקודות של המתחרים. הוועדה רשאית לפסול הצעה "בלתי סבירה" (סעיף 7.9), ולכן זה גם סיכון וגם הזדמנות.</t>
  </si>
  <si>
    <t xml:space="preserve">תזרים חודשי (60 חודשים)</t>
  </si>
  <si>
    <t xml:space="preserve">רווח (צבירה) 36 חודשים</t>
  </si>
  <si>
    <t xml:space="preserve">חשיפת מזומנים מרבית</t>
  </si>
  <si>
    <t xml:space="preserve">רווח (צבירה) כל התקופה</t>
  </si>
  <si>
    <t xml:space="preserve">מרווח חודשי בחודש העלייה לאוויר</t>
  </si>
  <si>
    <t xml:space="preserve">ערך נוכחי נקי (NPV) של התזרים</t>
  </si>
  <si>
    <t xml:space="preserve">מרווח חודשי בחודש האחרון</t>
  </si>
  <si>
    <t xml:space="preserve">שחיקת מרווח: המחירים נומינליים ל-5 שנים, העלויות עולות לפי אינפלציה ומחירוני דולר.</t>
  </si>
  <si>
    <t xml:space="preserve">חודש</t>
  </si>
  <si>
    <t xml:space="preserve">פעיל</t>
  </si>
  <si>
    <t xml:space="preserve">הכנסה: בסיס</t>
  </si>
  <si>
    <t xml:space="preserve">הכנסה: אופציונליים</t>
  </si>
  <si>
    <t xml:space="preserve">הכנסה: תמיכה ורכש</t>
  </si>
  <si>
    <t xml:space="preserve">הכנסה: הקמה</t>
  </si>
  <si>
    <t xml:space="preserve">עלות חד-פעמית</t>
  </si>
  <si>
    <t xml:space="preserve">רווח (צבירה)</t>
  </si>
  <si>
    <t xml:space="preserve">חיוב כולל</t>
  </si>
  <si>
    <t xml:space="preserve">תקבול (אחרי פיגור)</t>
  </si>
  <si>
    <t xml:space="preserve">תזרים נטו</t>
  </si>
  <si>
    <t xml:space="preserve">מצטבר</t>
  </si>
  <si>
    <t xml:space="preserve">הערה: חיובים שנצברו עד חודש הסיום ייגבו גם אחריו (פיגור תשלום) – לכן התזרים נמשך עד חודש 60 גם בסיום מוקדם.</t>
  </si>
  <si>
    <t xml:space="preserve">מדדי שוק ונתונים חיצוניים</t>
  </si>
  <si>
    <t xml:space="preserve">מדד</t>
  </si>
  <si>
    <t xml:space="preserve">מקור</t>
  </si>
  <si>
    <t xml:space="preserve">$14 למשתמש לחודש</t>
  </si>
  <si>
    <t xml:space="preserve">מ-1.7.2026 (היה $12.50). מחיר מרבי בטופס: 45 ₪ ≈ $14.7.</t>
  </si>
  <si>
    <t xml:space="preserve">https://lazyadmin.nl/office-365/microsoft-365-business-standard-vs-premium-2026-update/</t>
  </si>
  <si>
    <t xml:space="preserve">$22 למשתמש לחודש</t>
  </si>
  <si>
    <t xml:space="preserve">ללא שינוי ב-2026. מחיר בטופס: 85 ₪.</t>
  </si>
  <si>
    <t xml:space="preserve">https://www.stmicro.net/blog/microsoft-365-price-increase-2026/</t>
  </si>
  <si>
    <t xml:space="preserve">שער דולר יציג</t>
  </si>
  <si>
    <t xml:space="preserve">3.055 ₪</t>
  </si>
  <si>
    <t xml:space="preserve">09/10/2026</t>
  </si>
  <si>
    <t xml:space="preserve">בנק ישראל (fx-rate.json בריפו)</t>
  </si>
  <si>
    <t xml:space="preserve">מרכזייה בענן – שלוחה לחודש (שוק)</t>
  </si>
  <si>
    <t xml:space="preserve">20–80 ₪</t>
  </si>
  <si>
    <t xml:space="preserve">בטופס: 2,000 ₪ ל-35 שלוחות + 10,000 דקות ≈ 57 ₪ לשלוחה.</t>
  </si>
  <si>
    <t xml:space="preserve">https://www.xn----9hcbbmdejomb6a2c8b8a.org.il/cloud-pbx/</t>
  </si>
  <si>
    <t xml:space="preserve">הצעה הפסדית</t>
  </si>
  <si>
    <t xml:space="preserve">לא נפסלת אוטומטית</t>
  </si>
  <si>
    <t xml:space="preserve">עע"מ 3499/08; הצעה תכסיסנית או בלתי סבירה – נפסלת (ראו גם סעיף 7.9 במכרז).</t>
  </si>
  <si>
    <t xml:space="preserve">https://www.duns100.co.il/articles/לא_כל_מספר_זוכה__על_הצעה_הפסדית_והצעה_תכסיסנית_במכרז_הציבורי</t>
  </si>
  <si>
    <t xml:space="preserve">כרטיס החלטה: להגיש / לא להגיש</t>
  </si>
  <si>
    <t xml:space="preserve">קריטריון</t>
  </si>
  <si>
    <t xml:space="preserve">משקל</t>
  </si>
  <si>
    <t xml:space="preserve">ציון (1–5)</t>
  </si>
  <si>
    <t xml:space="preserve">ציון משוקלל</t>
  </si>
  <si>
    <t xml:space="preserve">תנאי סף: 5 שנות IT מנוהל ל-2 רשויות, ISO 9001 + 27001, תמיכה 24/7</t>
  </si>
  <si>
    <t xml:space="preserve">אם לא – רק דרך שותף/קבלן משנה (שאלת הבהרה 11).</t>
  </si>
  <si>
    <t xml:space="preserve">רווחיות (גיליון תזרים)</t>
  </si>
  <si>
    <t xml:space="preserve">רווח חיובי בהנחות ברירת המחדל, אבל רכיבים 3–4 מתחת לעלות ויש שחיקה מאינפלציה.</t>
  </si>
  <si>
    <t xml:space="preserve">ערך אסטרטגי (קווי מטרו, מרכזייה, אפסייל אבטחה)</t>
  </si>
  <si>
    <t xml:space="preserve">רכיבים 8 ו-11 הם הליבה של HOT.</t>
  </si>
  <si>
    <t xml:space="preserve">סיכון חוזי (ללא הצמדה, ביטול ב-30 יום, אין כמויות)</t>
  </si>
  <si>
    <t xml:space="preserve">תלוי בתשובות להבהרות.</t>
  </si>
  <si>
    <t xml:space="preserve">יכולת לזכות בציון האיכות (40 נק')</t>
  </si>
  <si>
    <t xml:space="preserve">ניסיון מול רשויות, ראיון, 5 המלצות.</t>
  </si>
  <si>
    <t xml:space="preserve">תחרות וספק מקומי (העדפה של 5%)</t>
  </si>
  <si>
    <t xml:space="preserve">ספק מקומי עשוי לזכות גם עם ציון נמוך יותר.</t>
  </si>
  <si>
    <t xml:space="preserve">משאבים ולוח זמנים</t>
  </si>
  <si>
    <t xml:space="preserve">הגשה 28.10.2026.</t>
  </si>
  <si>
    <t xml:space="preserve">סה"כ (מתוך 5)</t>
  </si>
  <si>
    <t xml:space="preserve">רווח צפוי ל-36 חודשים (מקושר)</t>
  </si>
  <si>
    <t xml:space="preserve">זוכה צפוי לפי ההנחות (מקושר)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</si>
</sst>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;\(0.0%\);\-"/>
    <numFmt numFmtId="166" formatCode="#,##0&quot; ₪&quot;;\(#,##0&quot; ₪)&quot;;\-"/>
    <numFmt numFmtId="167" formatCode="0"/>
    <numFmt numFmtId="168" formatCode="0.000"/>
    <numFmt numFmtId="169" formatCode="#,##0;\(#,##0\);\-"/>
    <numFmt numFmtId="170" formatCode="#,##0.00&quot; ₪&quot;;\(#,##0.00&quot; ₪)&quot;;\-"/>
    <numFmt numFmtId="171" formatCode="0.00;\(0.00\);\-"/>
    <numFmt numFmtId="172" formatCode="0.0"/>
    <numFmt numFmtId="173" formatCode="0\x"/>
    <numFmt numFmtId="174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72"/>
  </cols>
  <sheetData>
    <row r="1" customFormat="false" ht="17.35" hidden="false" customHeight="false" outlineLevel="0" collapsed="false">
      <c r="A1" s="6" t="s">
        <v>13</v>
      </c>
    </row>
    <row r="3" customFormat="false" ht="48" hidden="false" customHeight="true" outlineLevel="0" collapsed="false">
      <c r="A3" s="7" t="s">
        <v>14</v>
      </c>
      <c r="B3" s="7" t="s">
        <v>15</v>
      </c>
      <c r="C3" s="7" t="s">
        <v>16</v>
      </c>
    </row>
    <row r="4" customFormat="false" ht="15" hidden="false" customHeight="false" outlineLevel="0" collapsed="false">
      <c r="A4" s="8" t="s">
        <v>17</v>
      </c>
      <c r="B4" s="9" t="n">
        <v>0</v>
      </c>
      <c r="C4" s="8" t="s">
        <v>18</v>
      </c>
    </row>
    <row r="5" customFormat="false" ht="15" hidden="false" customHeight="false" outlineLevel="0" collapsed="false">
      <c r="A5" s="8" t="s">
        <v>19</v>
      </c>
      <c r="B5" s="9" t="n">
        <v>0</v>
      </c>
      <c r="C5" s="8" t="s">
        <v>20</v>
      </c>
    </row>
    <row r="6" customFormat="false" ht="15" hidden="false" customHeight="false" outlineLevel="0" collapsed="false">
      <c r="A6" s="8" t="s">
        <v>21</v>
      </c>
      <c r="B6" s="10" t="n">
        <v>15000</v>
      </c>
      <c r="C6" s="8" t="s">
        <v>22</v>
      </c>
    </row>
    <row r="7" customFormat="false" ht="15" hidden="false" customHeight="false" outlineLevel="0" collapsed="false">
      <c r="A7" s="8" t="s">
        <v>23</v>
      </c>
      <c r="B7" s="10" t="n">
        <v>30000</v>
      </c>
      <c r="C7" s="8" t="s">
        <v>24</v>
      </c>
    </row>
    <row r="8" customFormat="false" ht="15" hidden="false" customHeight="false" outlineLevel="0" collapsed="false">
      <c r="A8" s="8" t="s">
        <v>25</v>
      </c>
      <c r="B8" s="10" t="n">
        <v>6000</v>
      </c>
      <c r="C8" s="8" t="s">
        <v>26</v>
      </c>
    </row>
    <row r="9" customFormat="false" ht="15" hidden="false" customHeight="false" outlineLevel="0" collapsed="false">
      <c r="A9" s="8" t="s">
        <v>27</v>
      </c>
      <c r="B9" s="11" t="n">
        <v>2</v>
      </c>
      <c r="C9" s="8" t="s">
        <v>28</v>
      </c>
    </row>
    <row r="10" customFormat="false" ht="15" hidden="false" customHeight="false" outlineLevel="0" collapsed="false">
      <c r="A10" s="8" t="s">
        <v>29</v>
      </c>
      <c r="B10" s="11" t="n">
        <v>1</v>
      </c>
      <c r="C10" s="8" t="s">
        <v>30</v>
      </c>
    </row>
    <row r="11" customFormat="false" ht="15" hidden="false" customHeight="false" outlineLevel="0" collapsed="false">
      <c r="A11" s="8" t="s">
        <v>31</v>
      </c>
      <c r="B11" s="11" t="n">
        <v>0</v>
      </c>
      <c r="C11" s="8" t="s">
        <v>32</v>
      </c>
    </row>
    <row r="12" customFormat="false" ht="15" hidden="false" customHeight="false" outlineLevel="0" collapsed="false">
      <c r="A12" s="8" t="s">
        <v>33</v>
      </c>
      <c r="B12" s="11" t="n">
        <v>2</v>
      </c>
      <c r="C12" s="8" t="s">
        <v>34</v>
      </c>
    </row>
    <row r="13" customFormat="false" ht="15" hidden="false" customHeight="false" outlineLevel="0" collapsed="false">
      <c r="A13" s="8" t="s">
        <v>35</v>
      </c>
      <c r="B13" s="9" t="n">
        <v>0.03</v>
      </c>
      <c r="C13" s="8" t="s">
        <v>36</v>
      </c>
    </row>
    <row r="14" customFormat="false" ht="26.85" hidden="false" customHeight="false" outlineLevel="0" collapsed="false">
      <c r="A14" s="8" t="s">
        <v>37</v>
      </c>
      <c r="B14" s="9" t="n">
        <v>0</v>
      </c>
      <c r="C14" s="8" t="s">
        <v>38</v>
      </c>
    </row>
    <row r="15" customFormat="false" ht="15" hidden="false" customHeight="false" outlineLevel="0" collapsed="false">
      <c r="A15" s="8" t="s">
        <v>39</v>
      </c>
      <c r="B15" s="12" t="n">
        <v>3.055</v>
      </c>
      <c r="C15" s="8" t="s">
        <v>40</v>
      </c>
    </row>
    <row r="16" customFormat="false" ht="15" hidden="false" customHeight="false" outlineLevel="0" collapsed="false">
      <c r="A16" s="8" t="s">
        <v>41</v>
      </c>
      <c r="B16" s="9" t="n">
        <v>0.08</v>
      </c>
      <c r="C16" s="8" t="s">
        <v>42</v>
      </c>
    </row>
    <row r="17" customFormat="false" ht="15" hidden="false" customHeight="false" outlineLevel="0" collapsed="false">
      <c r="A17" s="8" t="s">
        <v>43</v>
      </c>
      <c r="B17" s="11" t="n">
        <v>4</v>
      </c>
      <c r="C17" s="8" t="s">
        <v>44</v>
      </c>
    </row>
    <row r="18" customFormat="false" ht="15" hidden="false" customHeight="false" outlineLevel="0" collapsed="false">
      <c r="A18" s="8" t="s">
        <v>45</v>
      </c>
      <c r="B18" s="9" t="n">
        <v>0</v>
      </c>
      <c r="C18" s="8" t="s">
        <v>46</v>
      </c>
    </row>
    <row r="19" customFormat="false" ht="15" hidden="false" customHeight="false" outlineLevel="0" collapsed="false">
      <c r="A19" s="8" t="s">
        <v>47</v>
      </c>
      <c r="B19" s="10" t="n">
        <v>150</v>
      </c>
      <c r="C19" s="8" t="s">
        <v>48</v>
      </c>
    </row>
    <row r="20" customFormat="false" ht="15" hidden="false" customHeight="false" outlineLevel="0" collapsed="false">
      <c r="A20" s="8" t="s">
        <v>49</v>
      </c>
      <c r="B20" s="10" t="n">
        <v>3000</v>
      </c>
      <c r="C20" s="8" t="s">
        <v>50</v>
      </c>
    </row>
    <row r="21" customFormat="false" ht="15" hidden="false" customHeight="false" outlineLevel="0" collapsed="false">
      <c r="A21" s="8" t="s">
        <v>51</v>
      </c>
      <c r="B21" s="9" t="n">
        <v>0.05</v>
      </c>
      <c r="C21" s="8" t="s">
        <v>52</v>
      </c>
    </row>
    <row r="22" customFormat="false" ht="15" hidden="false" customHeight="false" outlineLevel="0" collapsed="false">
      <c r="A22" s="8" t="s">
        <v>53</v>
      </c>
      <c r="B22" s="9" t="n">
        <v>0.15</v>
      </c>
      <c r="C22" s="8" t="s">
        <v>54</v>
      </c>
    </row>
    <row r="24" customFormat="false" ht="15" hidden="false" customHeight="false" outlineLevel="0" collapsed="false">
      <c r="A24" s="13" t="s">
        <v>55</v>
      </c>
    </row>
    <row r="25" customFormat="false" ht="15" hidden="false" customHeight="false" outlineLevel="0" collapsed="false">
      <c r="A25" s="14" t="s">
        <v>56</v>
      </c>
      <c r="B25" s="15" t="n">
        <f aca="false">IF(B11&gt;0,B11,36+12*B10)</f>
        <v>48</v>
      </c>
    </row>
    <row r="26" customFormat="false" ht="15" hidden="false" customHeight="false" outlineLevel="0" collapsed="false">
      <c r="A26" s="14" t="s">
        <v>57</v>
      </c>
      <c r="B26" s="16" t="n">
        <f aca="false">B17*250*(1-B18)+B20*(1-B21)</f>
        <v>3850</v>
      </c>
    </row>
    <row r="27" customFormat="false" ht="15" hidden="false" customHeight="false" outlineLevel="0" collapsed="false">
      <c r="A27" s="14" t="s">
        <v>58</v>
      </c>
      <c r="B27" s="16" t="n">
        <f aca="false">B17*B19+B20*(1-B22)</f>
        <v>3150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1" min="9" style="0" width="13"/>
    <col collapsed="false" customWidth="true" hidden="false" outlineLevel="0" max="12" min="12" style="0" width="11"/>
    <col collapsed="false" customWidth="true" hidden="false" outlineLevel="0" max="13" min="13" style="0" width="42"/>
  </cols>
  <sheetData>
    <row r="1" customFormat="false" ht="17.15" hidden="false" customHeight="false" outlineLevel="0" collapsed="false">
      <c r="A1" s="6" t="s">
        <v>59</v>
      </c>
    </row>
    <row r="3" customFormat="false" ht="48" hidden="false" customHeight="true" outlineLevel="0" collapsed="false">
      <c r="A3" s="7" t="s">
        <v>60</v>
      </c>
      <c r="B3" s="7" t="s">
        <v>61</v>
      </c>
      <c r="C3" s="7" t="s">
        <v>62</v>
      </c>
      <c r="D3" s="7" t="s">
        <v>63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  <c r="J3" s="7" t="s">
        <v>69</v>
      </c>
      <c r="K3" s="7" t="s">
        <v>70</v>
      </c>
      <c r="L3" s="7" t="s">
        <v>71</v>
      </c>
      <c r="M3" s="7" t="s">
        <v>72</v>
      </c>
    </row>
    <row r="4" customFormat="false" ht="30" hidden="false" customHeight="true" outlineLevel="0" collapsed="false">
      <c r="A4" s="14" t="n">
        <v>1</v>
      </c>
      <c r="B4" s="8" t="s">
        <v>73</v>
      </c>
      <c r="C4" s="17" t="n">
        <v>4500</v>
      </c>
      <c r="D4" s="18" t="n">
        <v>1</v>
      </c>
      <c r="E4" s="18" t="n">
        <v>1</v>
      </c>
      <c r="F4" s="19" t="n">
        <v>4200</v>
      </c>
      <c r="G4" s="20" t="n">
        <v>0</v>
      </c>
      <c r="H4" s="21" t="n">
        <f aca="false">C4*(1-הנחות!$B$4)</f>
        <v>4500</v>
      </c>
      <c r="I4" s="16" t="n">
        <f aca="false">H4*E4</f>
        <v>4500</v>
      </c>
      <c r="J4" s="16" t="n">
        <f aca="false">F4*E4</f>
        <v>4200</v>
      </c>
      <c r="K4" s="16" t="n">
        <f aca="false">I4-J4</f>
        <v>300</v>
      </c>
      <c r="L4" s="22" t="n">
        <f aca="false">IF(I4&gt;0,K4/I4,0)</f>
        <v>0.0666666666666667</v>
      </c>
      <c r="M4" s="8" t="s">
        <v>74</v>
      </c>
    </row>
    <row r="5" customFormat="false" ht="30" hidden="false" customHeight="true" outlineLevel="0" collapsed="false">
      <c r="A5" s="14" t="n">
        <v>2</v>
      </c>
      <c r="B5" s="8" t="s">
        <v>75</v>
      </c>
      <c r="C5" s="17" t="n">
        <v>675</v>
      </c>
      <c r="D5" s="18" t="n">
        <v>2</v>
      </c>
      <c r="E5" s="18" t="n">
        <v>2</v>
      </c>
      <c r="F5" s="19" t="n">
        <v>300</v>
      </c>
      <c r="G5" s="20" t="n">
        <v>0</v>
      </c>
      <c r="H5" s="21" t="n">
        <f aca="false">C5*(1-הנחות!$B$4)</f>
        <v>675</v>
      </c>
      <c r="I5" s="16" t="n">
        <f aca="false">H5*E5</f>
        <v>1350</v>
      </c>
      <c r="J5" s="16" t="n">
        <f aca="false">F5*E5</f>
        <v>600</v>
      </c>
      <c r="K5" s="16" t="n">
        <f aca="false">I5-J5</f>
        <v>750</v>
      </c>
      <c r="L5" s="22" t="n">
        <f aca="false">IF(I5&gt;0,K5/I5,0)</f>
        <v>0.555555555555556</v>
      </c>
      <c r="M5" s="8" t="s">
        <v>76</v>
      </c>
    </row>
    <row r="6" customFormat="false" ht="30" hidden="false" customHeight="true" outlineLevel="0" collapsed="false">
      <c r="A6" s="14" t="n">
        <v>3</v>
      </c>
      <c r="B6" s="8" t="s">
        <v>77</v>
      </c>
      <c r="C6" s="17" t="n">
        <v>200</v>
      </c>
      <c r="D6" s="18" t="n">
        <v>2</v>
      </c>
      <c r="E6" s="18" t="n">
        <v>2</v>
      </c>
      <c r="F6" s="19" t="n">
        <v>450</v>
      </c>
      <c r="G6" s="20" t="n">
        <v>0</v>
      </c>
      <c r="H6" s="21" t="n">
        <f aca="false">C6*(1-הנחות!$B$4)</f>
        <v>200</v>
      </c>
      <c r="I6" s="16" t="n">
        <f aca="false">H6*E6</f>
        <v>400</v>
      </c>
      <c r="J6" s="16" t="n">
        <f aca="false">F6*E6</f>
        <v>900</v>
      </c>
      <c r="K6" s="16" t="n">
        <f aca="false">I6-J6</f>
        <v>-500</v>
      </c>
      <c r="L6" s="22" t="n">
        <f aca="false">IF(I6&gt;0,K6/I6,0)</f>
        <v>-1.25</v>
      </c>
      <c r="M6" s="8" t="s">
        <v>78</v>
      </c>
    </row>
    <row r="7" customFormat="false" ht="30" hidden="false" customHeight="true" outlineLevel="0" collapsed="false">
      <c r="A7" s="14" t="n">
        <v>4</v>
      </c>
      <c r="B7" s="8" t="s">
        <v>79</v>
      </c>
      <c r="C7" s="17" t="n">
        <v>800</v>
      </c>
      <c r="D7" s="18" t="n">
        <v>1</v>
      </c>
      <c r="E7" s="18" t="n">
        <v>1</v>
      </c>
      <c r="F7" s="19" t="n">
        <v>1000</v>
      </c>
      <c r="G7" s="20" t="n">
        <v>0.7</v>
      </c>
      <c r="H7" s="21" t="n">
        <f aca="false">C7*(1-הנחות!$B$4)</f>
        <v>800</v>
      </c>
      <c r="I7" s="16" t="n">
        <f aca="false">H7*E7</f>
        <v>800</v>
      </c>
      <c r="J7" s="16" t="n">
        <f aca="false">F7*E7</f>
        <v>1000</v>
      </c>
      <c r="K7" s="16" t="n">
        <f aca="false">I7-J7</f>
        <v>-200</v>
      </c>
      <c r="L7" s="22" t="n">
        <f aca="false">IF(I7&gt;0,K7/I7,0)</f>
        <v>-0.25</v>
      </c>
      <c r="M7" s="8" t="s">
        <v>80</v>
      </c>
    </row>
    <row r="8" customFormat="false" ht="30" hidden="false" customHeight="true" outlineLevel="0" collapsed="false">
      <c r="A8" s="14" t="n">
        <v>5</v>
      </c>
      <c r="B8" s="8" t="s">
        <v>81</v>
      </c>
      <c r="C8" s="17" t="n">
        <v>25</v>
      </c>
      <c r="D8" s="18" t="n">
        <v>1</v>
      </c>
      <c r="E8" s="23" t="n">
        <v>35</v>
      </c>
      <c r="F8" s="19" t="n">
        <v>12</v>
      </c>
      <c r="G8" s="20" t="n">
        <v>1</v>
      </c>
      <c r="H8" s="21" t="n">
        <f aca="false">C8*(1-הנחות!$B$4)</f>
        <v>25</v>
      </c>
      <c r="I8" s="16" t="n">
        <f aca="false">H8*E8</f>
        <v>875</v>
      </c>
      <c r="J8" s="16" t="n">
        <f aca="false">F8*E8</f>
        <v>420</v>
      </c>
      <c r="K8" s="16" t="n">
        <f aca="false">I8-J8</f>
        <v>455</v>
      </c>
      <c r="L8" s="22" t="n">
        <f aca="false">IF(I8&gt;0,K8/I8,0)</f>
        <v>0.52</v>
      </c>
      <c r="M8" s="8" t="s">
        <v>82</v>
      </c>
    </row>
    <row r="9" customFormat="false" ht="30" hidden="false" customHeight="true" outlineLevel="0" collapsed="false">
      <c r="A9" s="14" t="n">
        <v>6</v>
      </c>
      <c r="B9" s="8" t="s">
        <v>83</v>
      </c>
      <c r="C9" s="17" t="n">
        <v>540</v>
      </c>
      <c r="D9" s="18" t="n">
        <v>1</v>
      </c>
      <c r="E9" s="18" t="n">
        <v>1</v>
      </c>
      <c r="F9" s="19" t="n">
        <v>200</v>
      </c>
      <c r="G9" s="20" t="n">
        <v>0</v>
      </c>
      <c r="H9" s="21" t="n">
        <f aca="false">C9*(1-הנחות!$B$4)</f>
        <v>540</v>
      </c>
      <c r="I9" s="16" t="n">
        <f aca="false">H9*E9</f>
        <v>540</v>
      </c>
      <c r="J9" s="16" t="n">
        <f aca="false">F9*E9</f>
        <v>200</v>
      </c>
      <c r="K9" s="16" t="n">
        <f aca="false">I9-J9</f>
        <v>340</v>
      </c>
      <c r="L9" s="22" t="n">
        <f aca="false">IF(I9&gt;0,K9/I9,0)</f>
        <v>0.62962962962963</v>
      </c>
      <c r="M9" s="8"/>
    </row>
    <row r="10" customFormat="false" ht="30" hidden="false" customHeight="true" outlineLevel="0" collapsed="false">
      <c r="A10" s="14" t="n">
        <v>7</v>
      </c>
      <c r="B10" s="8" t="s">
        <v>84</v>
      </c>
      <c r="C10" s="17" t="n">
        <v>900</v>
      </c>
      <c r="D10" s="18" t="n">
        <v>1</v>
      </c>
      <c r="E10" s="18" t="n">
        <v>1</v>
      </c>
      <c r="F10" s="19" t="n">
        <v>400</v>
      </c>
      <c r="G10" s="20" t="n">
        <v>0</v>
      </c>
      <c r="H10" s="21" t="n">
        <f aca="false">C10*(1-הנחות!$B$4)</f>
        <v>900</v>
      </c>
      <c r="I10" s="16" t="n">
        <f aca="false">H10*E10</f>
        <v>900</v>
      </c>
      <c r="J10" s="16" t="n">
        <f aca="false">F10*E10</f>
        <v>400</v>
      </c>
      <c r="K10" s="16" t="n">
        <f aca="false">I10-J10</f>
        <v>500</v>
      </c>
      <c r="L10" s="22" t="n">
        <f aca="false">IF(I10&gt;0,K10/I10,0)</f>
        <v>0.555555555555556</v>
      </c>
      <c r="M10" s="8"/>
    </row>
    <row r="11" customFormat="false" ht="30" hidden="false" customHeight="true" outlineLevel="0" collapsed="false">
      <c r="A11" s="14" t="n">
        <v>8</v>
      </c>
      <c r="B11" s="8" t="s">
        <v>85</v>
      </c>
      <c r="C11" s="17" t="n">
        <v>2000</v>
      </c>
      <c r="D11" s="18" t="n">
        <v>1</v>
      </c>
      <c r="E11" s="18" t="n">
        <v>1</v>
      </c>
      <c r="F11" s="19" t="n">
        <v>700</v>
      </c>
      <c r="G11" s="20" t="n">
        <v>0</v>
      </c>
      <c r="H11" s="21" t="n">
        <f aca="false">C11*(1-הנחות!$B$4)</f>
        <v>2000</v>
      </c>
      <c r="I11" s="16" t="n">
        <f aca="false">H11*E11</f>
        <v>2000</v>
      </c>
      <c r="J11" s="16" t="n">
        <f aca="false">F11*E11</f>
        <v>700</v>
      </c>
      <c r="K11" s="16" t="n">
        <f aca="false">I11-J11</f>
        <v>1300</v>
      </c>
      <c r="L11" s="22" t="n">
        <f aca="false">IF(I11&gt;0,K11/I11,0)</f>
        <v>0.65</v>
      </c>
      <c r="M11" s="8" t="s">
        <v>86</v>
      </c>
    </row>
    <row r="12" customFormat="false" ht="30" hidden="false" customHeight="true" outlineLevel="0" collapsed="false">
      <c r="A12" s="14" t="n">
        <v>9</v>
      </c>
      <c r="B12" s="8" t="s">
        <v>87</v>
      </c>
      <c r="C12" s="17" t="n">
        <v>1350</v>
      </c>
      <c r="D12" s="18" t="n">
        <v>1</v>
      </c>
      <c r="E12" s="18" t="n">
        <v>1</v>
      </c>
      <c r="F12" s="19" t="n">
        <v>500</v>
      </c>
      <c r="G12" s="20" t="n">
        <v>0</v>
      </c>
      <c r="H12" s="21" t="n">
        <f aca="false">C12*(1-הנחות!$B$4)</f>
        <v>1350</v>
      </c>
      <c r="I12" s="16" t="n">
        <f aca="false">H12*E12</f>
        <v>1350</v>
      </c>
      <c r="J12" s="16" t="n">
        <f aca="false">F12*E12</f>
        <v>500</v>
      </c>
      <c r="K12" s="16" t="n">
        <f aca="false">I12-J12</f>
        <v>850</v>
      </c>
      <c r="L12" s="22" t="n">
        <f aca="false">IF(I12&gt;0,K12/I12,0)</f>
        <v>0.62962962962963</v>
      </c>
      <c r="M12" s="8"/>
    </row>
    <row r="13" customFormat="false" ht="30" hidden="false" customHeight="true" outlineLevel="0" collapsed="false">
      <c r="A13" s="14" t="n">
        <v>10</v>
      </c>
      <c r="B13" s="8" t="s">
        <v>88</v>
      </c>
      <c r="C13" s="17" t="n">
        <v>45</v>
      </c>
      <c r="D13" s="18" t="n">
        <v>1</v>
      </c>
      <c r="E13" s="23" t="n">
        <v>35</v>
      </c>
      <c r="F13" s="24" t="n">
        <f aca="false">14*הנחות!B15</f>
        <v>42.77</v>
      </c>
      <c r="G13" s="20" t="n">
        <v>1</v>
      </c>
      <c r="H13" s="21" t="n">
        <f aca="false">C13*(1-הנחות!$B$4)</f>
        <v>45</v>
      </c>
      <c r="I13" s="16" t="n">
        <f aca="false">H13*E13</f>
        <v>1575</v>
      </c>
      <c r="J13" s="16" t="n">
        <f aca="false">F13*E13</f>
        <v>1496.95</v>
      </c>
      <c r="K13" s="16" t="n">
        <f aca="false">I13-J13</f>
        <v>78.05</v>
      </c>
      <c r="L13" s="22" t="n">
        <f aca="false">IF(I13&gt;0,K13/I13,0)</f>
        <v>0.0495555555555555</v>
      </c>
      <c r="M13" s="8" t="s">
        <v>89</v>
      </c>
    </row>
    <row r="14" customFormat="false" ht="30" hidden="false" customHeight="true" outlineLevel="0" collapsed="false">
      <c r="A14" s="14" t="n">
        <v>11</v>
      </c>
      <c r="B14" s="8" t="s">
        <v>90</v>
      </c>
      <c r="C14" s="17" t="n">
        <v>1600</v>
      </c>
      <c r="D14" s="18" t="n">
        <v>1</v>
      </c>
      <c r="E14" s="18" t="n">
        <v>1</v>
      </c>
      <c r="F14" s="19" t="n">
        <v>700</v>
      </c>
      <c r="G14" s="20" t="n">
        <v>0</v>
      </c>
      <c r="H14" s="21" t="n">
        <f aca="false">C14*(1-הנחות!$B$4)</f>
        <v>1600</v>
      </c>
      <c r="I14" s="16" t="n">
        <f aca="false">H14*E14</f>
        <v>1600</v>
      </c>
      <c r="J14" s="16" t="n">
        <f aca="false">F14*E14</f>
        <v>700</v>
      </c>
      <c r="K14" s="16" t="n">
        <f aca="false">I14-J14</f>
        <v>900</v>
      </c>
      <c r="L14" s="22" t="n">
        <f aca="false">IF(I14&gt;0,K14/I14,0)</f>
        <v>0.5625</v>
      </c>
      <c r="M14" s="8" t="s">
        <v>91</v>
      </c>
    </row>
    <row r="15" customFormat="false" ht="30" hidden="false" customHeight="true" outlineLevel="0" collapsed="false">
      <c r="A15" s="14" t="n">
        <v>12</v>
      </c>
      <c r="B15" s="8" t="s">
        <v>92</v>
      </c>
      <c r="C15" s="17" t="n">
        <v>30</v>
      </c>
      <c r="D15" s="18" t="n">
        <v>1</v>
      </c>
      <c r="E15" s="23" t="n">
        <v>35</v>
      </c>
      <c r="F15" s="19" t="n">
        <v>15</v>
      </c>
      <c r="G15" s="20" t="n">
        <v>0.5</v>
      </c>
      <c r="H15" s="21" t="n">
        <f aca="false">C15*(1-הנחות!$B$4)</f>
        <v>30</v>
      </c>
      <c r="I15" s="16" t="n">
        <f aca="false">H15*E15</f>
        <v>1050</v>
      </c>
      <c r="J15" s="16" t="n">
        <f aca="false">F15*E15</f>
        <v>525</v>
      </c>
      <c r="K15" s="16" t="n">
        <f aca="false">I15-J15</f>
        <v>525</v>
      </c>
      <c r="L15" s="22" t="n">
        <f aca="false">IF(I15&gt;0,K15/I15,0)</f>
        <v>0.5</v>
      </c>
      <c r="M15" s="8" t="s">
        <v>93</v>
      </c>
    </row>
    <row r="16" customFormat="false" ht="30" hidden="false" customHeight="true" outlineLevel="0" collapsed="false">
      <c r="A16" s="14" t="n">
        <v>13</v>
      </c>
      <c r="B16" s="8" t="s">
        <v>94</v>
      </c>
      <c r="C16" s="17" t="n">
        <v>270</v>
      </c>
      <c r="D16" s="18" t="n">
        <v>1</v>
      </c>
      <c r="E16" s="23" t="n">
        <v>2</v>
      </c>
      <c r="F16" s="19" t="n">
        <v>260</v>
      </c>
      <c r="G16" s="20" t="n">
        <v>0.5</v>
      </c>
      <c r="H16" s="21" t="n">
        <f aca="false">C16*(1-הנחות!$B$4)</f>
        <v>270</v>
      </c>
      <c r="I16" s="16" t="n">
        <f aca="false">H16*E16</f>
        <v>540</v>
      </c>
      <c r="J16" s="16" t="n">
        <f aca="false">F16*E16</f>
        <v>520</v>
      </c>
      <c r="K16" s="16" t="n">
        <f aca="false">I16-J16</f>
        <v>20</v>
      </c>
      <c r="L16" s="22" t="n">
        <f aca="false">IF(I16&gt;0,K16/I16,0)</f>
        <v>0.037037037037037</v>
      </c>
      <c r="M16" s="8" t="s">
        <v>95</v>
      </c>
    </row>
    <row r="17" customFormat="false" ht="30" hidden="false" customHeight="true" outlineLevel="0" collapsed="false">
      <c r="A17" s="14" t="n">
        <v>14</v>
      </c>
      <c r="B17" s="8" t="s">
        <v>96</v>
      </c>
      <c r="C17" s="17" t="n">
        <v>90</v>
      </c>
      <c r="D17" s="18" t="n">
        <v>1</v>
      </c>
      <c r="E17" s="23" t="n">
        <v>6</v>
      </c>
      <c r="F17" s="19" t="n">
        <v>65</v>
      </c>
      <c r="G17" s="20" t="n">
        <v>0.5</v>
      </c>
      <c r="H17" s="21" t="n">
        <f aca="false">C17*(1-הנחות!$B$4)</f>
        <v>90</v>
      </c>
      <c r="I17" s="16" t="n">
        <f aca="false">H17*E17</f>
        <v>540</v>
      </c>
      <c r="J17" s="16" t="n">
        <f aca="false">F17*E17</f>
        <v>390</v>
      </c>
      <c r="K17" s="16" t="n">
        <f aca="false">I17-J17</f>
        <v>150</v>
      </c>
      <c r="L17" s="22" t="n">
        <f aca="false">IF(I17&gt;0,K17/I17,0)</f>
        <v>0.277777777777778</v>
      </c>
      <c r="M17" s="8" t="s">
        <v>97</v>
      </c>
    </row>
    <row r="18" customFormat="false" ht="15" hidden="false" customHeight="false" outlineLevel="0" collapsed="false">
      <c r="B18" s="13" t="s">
        <v>98</v>
      </c>
      <c r="I18" s="25" t="n">
        <f aca="false">SUM(I4:I17)</f>
        <v>18020</v>
      </c>
      <c r="J18" s="25" t="n">
        <f aca="false">SUM(J4:J17)</f>
        <v>12551.95</v>
      </c>
      <c r="K18" s="25" t="n">
        <f aca="false">SUM(K4:K17)</f>
        <v>5468.05</v>
      </c>
      <c r="L18" s="26" t="n">
        <f aca="false">IF(I18&gt;0,K18/I18,0)</f>
        <v>0.303443396226415</v>
      </c>
    </row>
    <row r="19" customFormat="false" ht="15" hidden="false" customHeight="false" outlineLevel="0" collapsed="false">
      <c r="B19" s="14" t="s">
        <v>99</v>
      </c>
      <c r="J19" s="16" t="n">
        <f aca="false">SUMPRODUCT(J4:J17,G4:G17)</f>
        <v>3334.45</v>
      </c>
    </row>
    <row r="20" customFormat="false" ht="15" hidden="false" customHeight="false" outlineLevel="0" collapsed="false">
      <c r="B20" s="14" t="s">
        <v>100</v>
      </c>
      <c r="J20" s="16" t="n">
        <f aca="false">J18-J19</f>
        <v>9217.5</v>
      </c>
    </row>
    <row r="22" customFormat="false" ht="26.85" hidden="false" customHeight="false" outlineLevel="0" collapsed="false">
      <c r="B22" s="8" t="s">
        <v>101</v>
      </c>
      <c r="I22" s="25" t="n">
        <f aca="false">12*SUMPRODUCT(H4:H17,D4:D17)</f>
        <v>166800</v>
      </c>
    </row>
    <row r="23" customFormat="false" ht="26.85" hidden="false" customHeight="false" outlineLevel="0" collapsed="false">
      <c r="B23" s="8" t="s">
        <v>102</v>
      </c>
      <c r="I23" s="16" t="n">
        <f aca="false">12*SUMPRODUCT(C4:C17,D4:D17)</f>
        <v>166800</v>
      </c>
    </row>
  </sheetData>
  <conditionalFormatting sqref="L4:L1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34"/>
  </cols>
  <sheetData>
    <row r="1" customFormat="false" ht="17.15" hidden="false" customHeight="false" outlineLevel="0" collapsed="false">
      <c r="A1" s="6" t="s">
        <v>103</v>
      </c>
    </row>
    <row r="3" customFormat="false" ht="48" hidden="false" customHeight="true" outlineLevel="0" collapsed="false">
      <c r="A3" s="7" t="s">
        <v>60</v>
      </c>
      <c r="B3" s="7" t="s">
        <v>61</v>
      </c>
      <c r="C3" s="7" t="s">
        <v>104</v>
      </c>
      <c r="D3" s="7" t="s">
        <v>105</v>
      </c>
      <c r="E3" s="7" t="s">
        <v>64</v>
      </c>
      <c r="F3" s="7" t="s">
        <v>106</v>
      </c>
      <c r="G3" s="7" t="s">
        <v>67</v>
      </c>
      <c r="H3" s="7" t="s">
        <v>70</v>
      </c>
      <c r="I3" s="7" t="s">
        <v>71</v>
      </c>
      <c r="J3" s="7" t="s">
        <v>107</v>
      </c>
    </row>
    <row r="4" customFormat="false" ht="15" hidden="false" customHeight="false" outlineLevel="0" collapsed="false">
      <c r="A4" s="14" t="n">
        <v>1</v>
      </c>
      <c r="B4" s="8" t="s">
        <v>108</v>
      </c>
      <c r="C4" s="14" t="s">
        <v>109</v>
      </c>
      <c r="D4" s="17" t="n">
        <v>85</v>
      </c>
      <c r="E4" s="23" t="n">
        <v>0</v>
      </c>
      <c r="F4" s="24" t="n">
        <f aca="false">22*הנחות!B15</f>
        <v>67.21</v>
      </c>
      <c r="G4" s="21" t="n">
        <f aca="false">D4*(1-הנחות!$B$5)</f>
        <v>85</v>
      </c>
      <c r="H4" s="16" t="n">
        <f aca="false">(G4-F4)*E4</f>
        <v>0</v>
      </c>
      <c r="I4" s="22" t="n">
        <f aca="false">IF(G4&gt;0,(G4-F4)/G4,0)</f>
        <v>0.209294117647059</v>
      </c>
      <c r="J4" s="8" t="s">
        <v>110</v>
      </c>
    </row>
    <row r="5" customFormat="false" ht="15" hidden="false" customHeight="false" outlineLevel="0" collapsed="false">
      <c r="A5" s="14" t="n">
        <v>2</v>
      </c>
      <c r="B5" s="8" t="s">
        <v>111</v>
      </c>
      <c r="C5" s="14" t="s">
        <v>109</v>
      </c>
      <c r="D5" s="17" t="n">
        <v>38</v>
      </c>
      <c r="E5" s="23" t="n">
        <v>0</v>
      </c>
      <c r="F5" s="19" t="n">
        <v>20</v>
      </c>
      <c r="G5" s="21" t="n">
        <f aca="false">D5*(1-הנחות!$B$5)</f>
        <v>38</v>
      </c>
      <c r="H5" s="16" t="n">
        <f aca="false">(G5-F5)*E5</f>
        <v>0</v>
      </c>
      <c r="I5" s="22" t="n">
        <f aca="false">IF(G5&gt;0,(G5-F5)/G5,0)</f>
        <v>0.473684210526316</v>
      </c>
      <c r="J5" s="8"/>
    </row>
    <row r="6" customFormat="false" ht="15" hidden="false" customHeight="false" outlineLevel="0" collapsed="false">
      <c r="A6" s="14" t="n">
        <v>3</v>
      </c>
      <c r="B6" s="8" t="s">
        <v>112</v>
      </c>
      <c r="C6" s="14" t="s">
        <v>109</v>
      </c>
      <c r="D6" s="17" t="n">
        <v>16</v>
      </c>
      <c r="E6" s="23" t="n">
        <v>0</v>
      </c>
      <c r="F6" s="19" t="n">
        <v>10</v>
      </c>
      <c r="G6" s="21" t="n">
        <f aca="false">D6*(1-הנחות!$B$5)</f>
        <v>16</v>
      </c>
      <c r="H6" s="16" t="n">
        <f aca="false">(G6-F6)*E6</f>
        <v>0</v>
      </c>
      <c r="I6" s="22" t="n">
        <f aca="false">IF(G6&gt;0,(G6-F6)/G6,0)</f>
        <v>0.375</v>
      </c>
      <c r="J6" s="8"/>
    </row>
    <row r="7" customFormat="false" ht="15" hidden="false" customHeight="false" outlineLevel="0" collapsed="false">
      <c r="A7" s="14" t="n">
        <v>4</v>
      </c>
      <c r="B7" s="8" t="s">
        <v>113</v>
      </c>
      <c r="C7" s="14" t="s">
        <v>114</v>
      </c>
      <c r="D7" s="17" t="n">
        <v>20</v>
      </c>
      <c r="E7" s="23" t="n">
        <v>0</v>
      </c>
      <c r="F7" s="19" t="n">
        <v>8</v>
      </c>
      <c r="G7" s="21" t="n">
        <f aca="false">D7*(1-הנחות!$B$5)</f>
        <v>20</v>
      </c>
      <c r="H7" s="16" t="n">
        <f aca="false">(G7-F7)*E7</f>
        <v>0</v>
      </c>
      <c r="I7" s="22" t="n">
        <f aca="false">IF(G7&gt;0,(G7-F7)/G7,0)</f>
        <v>0.6</v>
      </c>
      <c r="J7" s="8"/>
    </row>
    <row r="8" customFormat="false" ht="15" hidden="false" customHeight="false" outlineLevel="0" collapsed="false">
      <c r="A8" s="14" t="s">
        <v>115</v>
      </c>
      <c r="B8" s="8" t="s">
        <v>116</v>
      </c>
      <c r="C8" s="14" t="s">
        <v>117</v>
      </c>
      <c r="D8" s="17" t="n">
        <v>540</v>
      </c>
      <c r="E8" s="23" t="n">
        <v>0</v>
      </c>
      <c r="F8" s="19" t="n">
        <v>250</v>
      </c>
      <c r="G8" s="21" t="n">
        <f aca="false">D8*(1-הנחות!$B$5)</f>
        <v>540</v>
      </c>
      <c r="H8" s="16" t="n">
        <f aca="false">(G8-F8)*E8</f>
        <v>0</v>
      </c>
      <c r="I8" s="22" t="n">
        <f aca="false">IF(G8&gt;0,(G8-F8)/G8,0)</f>
        <v>0.537037037037037</v>
      </c>
      <c r="J8" s="8" t="s">
        <v>118</v>
      </c>
    </row>
    <row r="9" customFormat="false" ht="15" hidden="false" customHeight="false" outlineLevel="0" collapsed="false">
      <c r="A9" s="14" t="n">
        <v>7</v>
      </c>
      <c r="B9" s="8" t="s">
        <v>119</v>
      </c>
      <c r="C9" s="14" t="s">
        <v>120</v>
      </c>
      <c r="D9" s="17" t="n">
        <v>270</v>
      </c>
      <c r="E9" s="23" t="n">
        <v>0</v>
      </c>
      <c r="F9" s="19" t="n">
        <v>150</v>
      </c>
      <c r="G9" s="21" t="n">
        <f aca="false">D9*(1-הנחות!$B$5)</f>
        <v>270</v>
      </c>
      <c r="H9" s="16" t="n">
        <f aca="false">(G9-F9)*E9</f>
        <v>0</v>
      </c>
      <c r="I9" s="22" t="n">
        <f aca="false">IF(G9&gt;0,(G9-F9)/G9,0)</f>
        <v>0.444444444444444</v>
      </c>
      <c r="J9" s="8"/>
    </row>
    <row r="10" customFormat="false" ht="15" hidden="false" customHeight="false" outlineLevel="0" collapsed="false">
      <c r="A10" s="14" t="n">
        <v>9</v>
      </c>
      <c r="B10" s="8" t="s">
        <v>121</v>
      </c>
      <c r="C10" s="14" t="s">
        <v>122</v>
      </c>
      <c r="D10" s="17" t="n">
        <v>252</v>
      </c>
      <c r="E10" s="23" t="n">
        <v>0</v>
      </c>
      <c r="F10" s="19" t="n">
        <v>150</v>
      </c>
      <c r="G10" s="21" t="n">
        <f aca="false">D10*(1-הנחות!$B$5)</f>
        <v>252</v>
      </c>
      <c r="H10" s="16" t="n">
        <f aca="false">(G10-F10)*E10</f>
        <v>0</v>
      </c>
      <c r="I10" s="22" t="n">
        <f aca="false">IF(G10&gt;0,(G10-F10)/G10,0)</f>
        <v>0.404761904761905</v>
      </c>
      <c r="J10" s="8" t="s">
        <v>123</v>
      </c>
    </row>
    <row r="11" customFormat="false" ht="15" hidden="false" customHeight="false" outlineLevel="0" collapsed="false">
      <c r="A11" s="14" t="n">
        <v>11</v>
      </c>
      <c r="B11" s="8" t="s">
        <v>124</v>
      </c>
      <c r="C11" s="14" t="s">
        <v>125</v>
      </c>
      <c r="D11" s="17" t="n">
        <v>630</v>
      </c>
      <c r="E11" s="23" t="n">
        <v>0</v>
      </c>
      <c r="F11" s="19" t="n">
        <v>300</v>
      </c>
      <c r="G11" s="21" t="n">
        <f aca="false">D11*(1-הנחות!$B$5)</f>
        <v>630</v>
      </c>
      <c r="H11" s="16" t="n">
        <f aca="false">(G11-F11)*E11</f>
        <v>0</v>
      </c>
      <c r="I11" s="22" t="n">
        <f aca="false">IF(G11&gt;0,(G11-F11)/G11,0)</f>
        <v>0.523809523809524</v>
      </c>
      <c r="J11" s="8"/>
    </row>
    <row r="12" customFormat="false" ht="15" hidden="false" customHeight="false" outlineLevel="0" collapsed="false">
      <c r="A12" s="14" t="n">
        <v>14</v>
      </c>
      <c r="B12" s="8" t="s">
        <v>126</v>
      </c>
      <c r="C12" s="14" t="s">
        <v>117</v>
      </c>
      <c r="D12" s="17" t="n">
        <v>6300</v>
      </c>
      <c r="E12" s="23" t="n">
        <v>0</v>
      </c>
      <c r="F12" s="19" t="n">
        <v>4500</v>
      </c>
      <c r="G12" s="21" t="n">
        <f aca="false">D12*(1-הנחות!$B$5)</f>
        <v>6300</v>
      </c>
      <c r="H12" s="16" t="n">
        <f aca="false">(G12-F12)*E12</f>
        <v>0</v>
      </c>
      <c r="I12" s="22" t="n">
        <f aca="false">IF(G12&gt;0,(G12-F12)/G12,0)</f>
        <v>0.285714285714286</v>
      </c>
      <c r="J12" s="8" t="s">
        <v>127</v>
      </c>
    </row>
    <row r="13" customFormat="false" ht="15" hidden="false" customHeight="false" outlineLevel="0" collapsed="false">
      <c r="A13" s="14" t="n">
        <v>15</v>
      </c>
      <c r="B13" s="8" t="s">
        <v>128</v>
      </c>
      <c r="C13" s="14" t="s">
        <v>129</v>
      </c>
      <c r="D13" s="17" t="n">
        <v>1800</v>
      </c>
      <c r="E13" s="23" t="n">
        <v>0</v>
      </c>
      <c r="F13" s="19" t="n">
        <v>1100</v>
      </c>
      <c r="G13" s="21" t="n">
        <f aca="false">D13*(1-הנחות!$B$5)</f>
        <v>1800</v>
      </c>
      <c r="H13" s="16" t="n">
        <f aca="false">(G13-F13)*E13</f>
        <v>0</v>
      </c>
      <c r="I13" s="22" t="n">
        <f aca="false">IF(G13&gt;0,(G13-F13)/G13,0)</f>
        <v>0.388888888888889</v>
      </c>
      <c r="J13" s="8"/>
    </row>
    <row r="14" customFormat="false" ht="15" hidden="false" customHeight="false" outlineLevel="0" collapsed="false">
      <c r="A14" s="14" t="n">
        <v>16</v>
      </c>
      <c r="B14" s="8" t="s">
        <v>130</v>
      </c>
      <c r="C14" s="14" t="s">
        <v>129</v>
      </c>
      <c r="D14" s="17" t="n">
        <v>630</v>
      </c>
      <c r="E14" s="23" t="n">
        <v>0</v>
      </c>
      <c r="F14" s="19" t="n">
        <v>400</v>
      </c>
      <c r="G14" s="21" t="n">
        <f aca="false">D14*(1-הנחות!$B$5)</f>
        <v>630</v>
      </c>
      <c r="H14" s="16" t="n">
        <f aca="false">(G14-F14)*E14</f>
        <v>0</v>
      </c>
      <c r="I14" s="22" t="n">
        <f aca="false">IF(G14&gt;0,(G14-F14)/G14,0)</f>
        <v>0.365079365079365</v>
      </c>
      <c r="J14" s="8"/>
    </row>
    <row r="15" customFormat="false" ht="15" hidden="false" customHeight="false" outlineLevel="0" collapsed="false">
      <c r="A15" s="14" t="n">
        <v>17</v>
      </c>
      <c r="B15" s="8" t="s">
        <v>131</v>
      </c>
      <c r="C15" s="14" t="s">
        <v>129</v>
      </c>
      <c r="D15" s="17" t="n">
        <v>720</v>
      </c>
      <c r="E15" s="23" t="n">
        <v>0</v>
      </c>
      <c r="F15" s="19" t="n">
        <v>450</v>
      </c>
      <c r="G15" s="21" t="n">
        <f aca="false">D15*(1-הנחות!$B$5)</f>
        <v>720</v>
      </c>
      <c r="H15" s="16" t="n">
        <f aca="false">(G15-F15)*E15</f>
        <v>0</v>
      </c>
      <c r="I15" s="22" t="n">
        <f aca="false">IF(G15&gt;0,(G15-F15)/G15,0)</f>
        <v>0.375</v>
      </c>
      <c r="J15" s="8"/>
    </row>
    <row r="16" customFormat="false" ht="15" hidden="false" customHeight="false" outlineLevel="0" collapsed="false">
      <c r="A16" s="14" t="n">
        <v>18</v>
      </c>
      <c r="B16" s="8" t="s">
        <v>132</v>
      </c>
      <c r="C16" s="14" t="s">
        <v>129</v>
      </c>
      <c r="D16" s="17" t="n">
        <v>630</v>
      </c>
      <c r="E16" s="23" t="n">
        <v>0</v>
      </c>
      <c r="F16" s="19" t="n">
        <v>350</v>
      </c>
      <c r="G16" s="21" t="n">
        <f aca="false">D16*(1-הנחות!$B$5)</f>
        <v>630</v>
      </c>
      <c r="H16" s="16" t="n">
        <f aca="false">(G16-F16)*E16</f>
        <v>0</v>
      </c>
      <c r="I16" s="22" t="n">
        <f aca="false">IF(G16&gt;0,(G16-F16)/G16,0)</f>
        <v>0.444444444444444</v>
      </c>
      <c r="J16" s="8"/>
    </row>
    <row r="17" customFormat="false" ht="15" hidden="false" customHeight="false" outlineLevel="0" collapsed="false">
      <c r="A17" s="14" t="n">
        <v>19</v>
      </c>
      <c r="B17" s="8" t="s">
        <v>133</v>
      </c>
      <c r="C17" s="14" t="s">
        <v>134</v>
      </c>
      <c r="D17" s="17" t="n">
        <v>25</v>
      </c>
      <c r="E17" s="23" t="n">
        <v>0</v>
      </c>
      <c r="F17" s="19" t="n">
        <v>8</v>
      </c>
      <c r="G17" s="21" t="n">
        <f aca="false">D17*(1-הנחות!$B$5)</f>
        <v>25</v>
      </c>
      <c r="H17" s="16" t="n">
        <f aca="false">(G17-F17)*E17</f>
        <v>0</v>
      </c>
      <c r="I17" s="22" t="n">
        <f aca="false">IF(G17&gt;0,(G17-F17)/G17,0)</f>
        <v>0.68</v>
      </c>
      <c r="J17" s="8"/>
    </row>
    <row r="18" customFormat="false" ht="15" hidden="false" customHeight="false" outlineLevel="0" collapsed="false">
      <c r="A18" s="14" t="n">
        <v>20</v>
      </c>
      <c r="B18" s="8" t="s">
        <v>135</v>
      </c>
      <c r="C18" s="14" t="s">
        <v>129</v>
      </c>
      <c r="D18" s="17" t="n">
        <v>450</v>
      </c>
      <c r="E18" s="23" t="n">
        <v>0</v>
      </c>
      <c r="F18" s="19" t="n">
        <v>200</v>
      </c>
      <c r="G18" s="21" t="n">
        <f aca="false">D18*(1-הנחות!$B$5)</f>
        <v>450</v>
      </c>
      <c r="H18" s="16" t="n">
        <f aca="false">(G18-F18)*E18</f>
        <v>0</v>
      </c>
      <c r="I18" s="22" t="n">
        <f aca="false">IF(G18&gt;0,(G18-F18)/G18,0)</f>
        <v>0.555555555555556</v>
      </c>
      <c r="J18" s="8"/>
    </row>
    <row r="19" customFormat="false" ht="15" hidden="false" customHeight="false" outlineLevel="0" collapsed="false">
      <c r="A19" s="14" t="n">
        <v>21</v>
      </c>
      <c r="B19" s="8" t="s">
        <v>136</v>
      </c>
      <c r="C19" s="14" t="s">
        <v>117</v>
      </c>
      <c r="D19" s="17" t="n">
        <v>2500</v>
      </c>
      <c r="E19" s="23" t="n">
        <v>0</v>
      </c>
      <c r="F19" s="19" t="n">
        <v>1800</v>
      </c>
      <c r="G19" s="21" t="n">
        <f aca="false">D19*(1-הנחות!$B$5)</f>
        <v>2500</v>
      </c>
      <c r="H19" s="16" t="n">
        <f aca="false">(G19-F19)*E19</f>
        <v>0</v>
      </c>
      <c r="I19" s="22" t="n">
        <f aca="false">IF(G19&gt;0,(G19-F19)/G19,0)</f>
        <v>0.28</v>
      </c>
      <c r="J19" s="8"/>
    </row>
    <row r="21" customFormat="false" ht="15" hidden="false" customHeight="false" outlineLevel="0" collapsed="false">
      <c r="B21" s="13" t="s">
        <v>137</v>
      </c>
      <c r="G21" s="25" t="n">
        <f aca="false">SUMPRODUCT(G4:G19,E4:E19)</f>
        <v>0</v>
      </c>
      <c r="H21" s="25" t="n">
        <f aca="false">SUM(H4:H19)</f>
        <v>0</v>
      </c>
    </row>
    <row r="22" customFormat="false" ht="15" hidden="false" customHeight="false" outlineLevel="0" collapsed="false">
      <c r="B22" s="14" t="s">
        <v>69</v>
      </c>
      <c r="H22" s="16" t="n">
        <f aca="false">G21-H21</f>
        <v>0</v>
      </c>
    </row>
  </sheetData>
  <conditionalFormatting sqref="I4:I1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1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6" t="s">
        <v>138</v>
      </c>
    </row>
    <row r="2" customFormat="false" ht="15" hidden="false" customHeight="false" outlineLevel="0" collapsed="false">
      <c r="A2" s="27" t="s">
        <v>139</v>
      </c>
    </row>
    <row r="4" customFormat="false" ht="48" hidden="false" customHeight="true" outlineLevel="0" collapsed="false">
      <c r="A4" s="7" t="s">
        <v>140</v>
      </c>
      <c r="B4" s="7" t="s">
        <v>141</v>
      </c>
      <c r="C4" s="7" t="s">
        <v>142</v>
      </c>
      <c r="D4" s="7" t="s">
        <v>143</v>
      </c>
      <c r="E4" s="7" t="s">
        <v>144</v>
      </c>
      <c r="F4" s="7" t="s">
        <v>145</v>
      </c>
      <c r="G4" s="7" t="s">
        <v>146</v>
      </c>
      <c r="H4" s="7" t="s">
        <v>147</v>
      </c>
      <c r="I4" s="7" t="s">
        <v>148</v>
      </c>
      <c r="J4" s="7" t="s">
        <v>149</v>
      </c>
      <c r="K4" s="7" t="s">
        <v>137</v>
      </c>
      <c r="L4" s="7" t="s">
        <v>150</v>
      </c>
      <c r="M4" s="7" t="s">
        <v>151</v>
      </c>
      <c r="N4" s="7" t="s">
        <v>152</v>
      </c>
    </row>
    <row r="5" customFormat="false" ht="15" hidden="false" customHeight="false" outlineLevel="0" collapsed="false">
      <c r="A5" s="13" t="s">
        <v>153</v>
      </c>
      <c r="B5" s="28" t="n">
        <f aca="false">הנחות!B6</f>
        <v>15000</v>
      </c>
      <c r="C5" s="29" t="n">
        <f aca="false">הנחות!B4</f>
        <v>0</v>
      </c>
      <c r="D5" s="16" t="n">
        <f aca="false">'רכיבי בסיס'!$I$23*(1-C5)</f>
        <v>166800</v>
      </c>
      <c r="E5" s="30" t="n">
        <f aca="false">IF(B5&gt;0,80*MIN($B$5:$B$8)/B5,0)</f>
        <v>53.3333333333333</v>
      </c>
      <c r="F5" s="30" t="n">
        <f aca="false">IF(D5&gt;0,20*MIN($D$5:$D$8)/D5,0)</f>
        <v>17</v>
      </c>
      <c r="G5" s="30" t="n">
        <f aca="false">0.6*(E5+F5)</f>
        <v>42.2</v>
      </c>
      <c r="H5" s="31" t="n">
        <v>12</v>
      </c>
      <c r="I5" s="31" t="n">
        <v>8</v>
      </c>
      <c r="J5" s="31" t="n">
        <v>8</v>
      </c>
      <c r="K5" s="32" t="n">
        <f aca="false">G5+H5+I5+J5</f>
        <v>70.2</v>
      </c>
      <c r="L5" s="33" t="n">
        <v>0</v>
      </c>
      <c r="M5" s="15" t="n">
        <f aca="false">RANK(K5,$K$5:$K$8)</f>
        <v>2</v>
      </c>
      <c r="N5" s="14" t="str">
        <f aca="false">IF($K$12="כן",IF(AND(L5=1,K5=$K$11),"זוכה (מקומי)",""),IF(M5=1,"זוכה",""))</f>
        <v/>
      </c>
    </row>
    <row r="6" customFormat="false" ht="15" hidden="false" customHeight="false" outlineLevel="0" collapsed="false">
      <c r="A6" s="14" t="s">
        <v>154</v>
      </c>
      <c r="B6" s="10" t="n">
        <v>20000</v>
      </c>
      <c r="C6" s="9" t="n">
        <v>0.1</v>
      </c>
      <c r="D6" s="16" t="n">
        <f aca="false">'רכיבי בסיס'!$I$23*(1-C6)</f>
        <v>150120</v>
      </c>
      <c r="E6" s="30" t="n">
        <f aca="false">IF(B6&gt;0,80*MIN($B$5:$B$8)/B6,0)</f>
        <v>40</v>
      </c>
      <c r="F6" s="30" t="n">
        <f aca="false">IF(D6&gt;0,20*MIN($D$5:$D$8)/D6,0)</f>
        <v>18.8888888888889</v>
      </c>
      <c r="G6" s="30" t="n">
        <f aca="false">0.6*(E6+F6)</f>
        <v>35.3333333333333</v>
      </c>
      <c r="H6" s="31" t="n">
        <v>14</v>
      </c>
      <c r="I6" s="31" t="n">
        <v>7</v>
      </c>
      <c r="J6" s="31" t="n">
        <v>8</v>
      </c>
      <c r="K6" s="32" t="n">
        <f aca="false">G6+H6+I6+J6</f>
        <v>64.3333333333333</v>
      </c>
      <c r="L6" s="33" t="n">
        <v>0</v>
      </c>
      <c r="M6" s="15" t="n">
        <f aca="false">RANK(K6,$K$5:$K$8)</f>
        <v>3</v>
      </c>
      <c r="N6" s="14" t="str">
        <f aca="false">IF($K$12="כן",IF(AND(L6=1,K6=$K$11),"זוכה (מקומי)",""),IF(M6=1,"זוכה",""))</f>
        <v/>
      </c>
    </row>
    <row r="7" customFormat="false" ht="15" hidden="false" customHeight="false" outlineLevel="0" collapsed="false">
      <c r="A7" s="14" t="s">
        <v>155</v>
      </c>
      <c r="B7" s="10" t="n">
        <v>10000</v>
      </c>
      <c r="C7" s="9" t="n">
        <v>0.15</v>
      </c>
      <c r="D7" s="16" t="n">
        <f aca="false">'רכיבי בסיס'!$I$23*(1-C7)</f>
        <v>141780</v>
      </c>
      <c r="E7" s="30" t="n">
        <f aca="false">IF(B7&gt;0,80*MIN($B$5:$B$8)/B7,0)</f>
        <v>80</v>
      </c>
      <c r="F7" s="30" t="n">
        <f aca="false">IF(D7&gt;0,20*MIN($D$5:$D$8)/D7,0)</f>
        <v>20</v>
      </c>
      <c r="G7" s="30" t="n">
        <f aca="false">0.6*(E7+F7)</f>
        <v>60</v>
      </c>
      <c r="H7" s="31" t="n">
        <v>10</v>
      </c>
      <c r="I7" s="31" t="n">
        <v>6</v>
      </c>
      <c r="J7" s="31" t="n">
        <v>6</v>
      </c>
      <c r="K7" s="32" t="n">
        <f aca="false">G7+H7+I7+J7</f>
        <v>82</v>
      </c>
      <c r="L7" s="33" t="n">
        <v>0</v>
      </c>
      <c r="M7" s="15" t="n">
        <f aca="false">RANK(K7,$K$5:$K$8)</f>
        <v>1</v>
      </c>
      <c r="N7" s="14" t="str">
        <f aca="false">IF($K$12="כן",IF(AND(L7=1,K7=$K$11),"זוכה (מקומי)",""),IF(M7=1,"זוכה",""))</f>
        <v>זוכה</v>
      </c>
    </row>
    <row r="8" customFormat="false" ht="15" hidden="false" customHeight="false" outlineLevel="0" collapsed="false">
      <c r="A8" s="14" t="s">
        <v>156</v>
      </c>
      <c r="B8" s="10" t="n">
        <v>30000</v>
      </c>
      <c r="C8" s="9" t="n">
        <v>0.05</v>
      </c>
      <c r="D8" s="16" t="n">
        <f aca="false">'רכיבי בסיס'!$I$23*(1-C8)</f>
        <v>158460</v>
      </c>
      <c r="E8" s="30" t="n">
        <f aca="false">IF(B8&gt;0,80*MIN($B$5:$B$8)/B8,0)</f>
        <v>26.6666666666667</v>
      </c>
      <c r="F8" s="30" t="n">
        <f aca="false">IF(D8&gt;0,20*MIN($D$5:$D$8)/D8,0)</f>
        <v>17.8947368421053</v>
      </c>
      <c r="G8" s="30" t="n">
        <f aca="false">0.6*(E8+F8)</f>
        <v>26.7368421052632</v>
      </c>
      <c r="H8" s="31" t="n">
        <v>6</v>
      </c>
      <c r="I8" s="31" t="n">
        <v>8</v>
      </c>
      <c r="J8" s="31" t="n">
        <v>6</v>
      </c>
      <c r="K8" s="32" t="n">
        <f aca="false">G8+H8+I8+J8</f>
        <v>46.7368421052632</v>
      </c>
      <c r="L8" s="33" t="n">
        <v>1</v>
      </c>
      <c r="M8" s="15" t="n">
        <f aca="false">RANK(K8,$K$5:$K$8)</f>
        <v>4</v>
      </c>
      <c r="N8" s="14" t="str">
        <f aca="false">IF($K$12="כן",IF(AND(L8=1,K8=$K$11),"זוכה (מקומי)",""),IF(M8=1,"זוכה",""))</f>
        <v/>
      </c>
    </row>
    <row r="10" customFormat="false" ht="15" hidden="false" customHeight="false" outlineLevel="0" collapsed="false">
      <c r="A10" s="13" t="s">
        <v>157</v>
      </c>
      <c r="K10" s="32" t="n">
        <f aca="false">MAX(K5:K8)</f>
        <v>82</v>
      </c>
    </row>
    <row r="11" customFormat="false" ht="15" hidden="false" customHeight="false" outlineLevel="0" collapsed="false">
      <c r="A11" s="14" t="s">
        <v>158</v>
      </c>
      <c r="K11" s="30" t="n">
        <f aca="false">SUMPRODUCT(MAX(K5:K8*L5:L8))</f>
        <v>46.7368421052632</v>
      </c>
    </row>
    <row r="12" customFormat="false" ht="15" hidden="false" customHeight="false" outlineLevel="0" collapsed="false">
      <c r="A12" s="14" t="s">
        <v>159</v>
      </c>
      <c r="K12" s="14" t="str">
        <f aca="false">IF(AND(K11&gt;0,K11&gt;=0.95*K10),"כן","לא")</f>
        <v>לא</v>
      </c>
    </row>
    <row r="14" customFormat="false" ht="15" hidden="false" customHeight="false" outlineLevel="0" collapsed="false">
      <c r="A14" s="13" t="s">
        <v>160</v>
      </c>
    </row>
    <row r="15" customFormat="false" ht="15" hidden="false" customHeight="true" outlineLevel="0" collapsed="false">
      <c r="A15" s="14" t="s">
        <v>161</v>
      </c>
      <c r="B15" s="16" t="n">
        <f aca="false">B5/48</f>
        <v>312.5</v>
      </c>
      <c r="C15" s="34" t="n">
        <f aca="false">IF(B15&gt;0,B16/B15,0)</f>
        <v>177.92</v>
      </c>
      <c r="D15" s="8" t="s">
        <v>162</v>
      </c>
      <c r="E15" s="8"/>
      <c r="F15" s="8"/>
      <c r="G15" s="8"/>
    </row>
    <row r="16" customFormat="false" ht="15" hidden="false" customHeight="false" outlineLevel="0" collapsed="false">
      <c r="A16" s="14" t="s">
        <v>163</v>
      </c>
      <c r="B16" s="16" t="n">
        <f aca="false">D5/12*הנחות!B25/12</f>
        <v>55600</v>
      </c>
      <c r="D16" s="8"/>
      <c r="E16" s="8"/>
      <c r="F16" s="8"/>
      <c r="G16" s="8"/>
    </row>
    <row r="18" customFormat="false" ht="15" hidden="false" customHeight="false" outlineLevel="0" collapsed="false">
      <c r="A18" s="13" t="s">
        <v>164</v>
      </c>
    </row>
    <row r="19" customFormat="false" ht="48" hidden="false" customHeight="true" outlineLevel="0" collapsed="false">
      <c r="A19" s="7" t="s">
        <v>165</v>
      </c>
      <c r="B19" s="7" t="s">
        <v>166</v>
      </c>
      <c r="C19" s="7" t="s">
        <v>167</v>
      </c>
      <c r="D19" s="7" t="s">
        <v>168</v>
      </c>
      <c r="E19" s="7" t="s">
        <v>169</v>
      </c>
      <c r="F19" s="7" t="s">
        <v>170</v>
      </c>
    </row>
    <row r="20" customFormat="false" ht="15" hidden="false" customHeight="false" outlineLevel="0" collapsed="false">
      <c r="A20" s="17" t="n">
        <v>1</v>
      </c>
      <c r="B20" s="30" t="n">
        <f aca="false">80*MIN(A20,MIN($B$6:$B$8))/A20</f>
        <v>80</v>
      </c>
      <c r="C20" s="30" t="n">
        <f aca="false">0.6*(B20+$F$5)</f>
        <v>58.2</v>
      </c>
      <c r="D20" s="32" t="n">
        <f aca="false">C20+$H$5+$I$5+$J$5</f>
        <v>86.2</v>
      </c>
      <c r="E20" s="30" t="n">
        <f aca="false">D20-MAX(0.6*(80*MIN(A20,MIN($B$6:$B$8))/$B$6+$F$6)+$H$6+$I$6+$J$6,0.6*(80*MIN(A20,MIN($B$6:$B$8))/$B$7+$F$7)+$H$7+$I$7+$J$7,0.6*(80*MIN(A20,MIN($B$6:$B$8))/$B$8+$F$8)+$H$8+$I$8+$J$8)</f>
        <v>45.8642666666667</v>
      </c>
      <c r="F20" s="16" t="n">
        <f aca="false">15000-A20</f>
        <v>14999</v>
      </c>
    </row>
    <row r="21" customFormat="false" ht="15" hidden="false" customHeight="false" outlineLevel="0" collapsed="false">
      <c r="A21" s="17" t="n">
        <v>1000</v>
      </c>
      <c r="B21" s="30" t="n">
        <f aca="false">80*MIN(A21,MIN($B$6:$B$8))/A21</f>
        <v>80</v>
      </c>
      <c r="C21" s="30" t="n">
        <f aca="false">0.6*(B21+$F$5)</f>
        <v>58.2</v>
      </c>
      <c r="D21" s="32" t="n">
        <f aca="false">C21+$H$5+$I$5+$J$5</f>
        <v>86.2</v>
      </c>
      <c r="E21" s="30" t="n">
        <f aca="false">D21-MAX(0.6*(80*MIN(A21,MIN($B$6:$B$8))/$B$6+$F$6)+$H$6+$I$6+$J$6,0.6*(80*MIN(A21,MIN($B$6:$B$8))/$B$7+$F$7)+$H$7+$I$7+$J$7,0.6*(80*MIN(A21,MIN($B$6:$B$8))/$B$8+$F$8)+$H$8+$I$8+$J$8)</f>
        <v>43.4666666666667</v>
      </c>
      <c r="F21" s="16" t="n">
        <f aca="false">15000-A21</f>
        <v>14000</v>
      </c>
    </row>
    <row r="22" customFormat="false" ht="15" hidden="false" customHeight="false" outlineLevel="0" collapsed="false">
      <c r="A22" s="17" t="n">
        <v>5000</v>
      </c>
      <c r="B22" s="30" t="n">
        <f aca="false">80*MIN(A22,MIN($B$6:$B$8))/A22</f>
        <v>80</v>
      </c>
      <c r="C22" s="30" t="n">
        <f aca="false">0.6*(B22+$F$5)</f>
        <v>58.2</v>
      </c>
      <c r="D22" s="32" t="n">
        <f aca="false">C22+$H$5+$I$5+$J$5</f>
        <v>86.2</v>
      </c>
      <c r="E22" s="30" t="n">
        <f aca="false">D22-MAX(0.6*(80*MIN(A22,MIN($B$6:$B$8))/$B$6+$F$6)+$H$6+$I$6+$J$6,0.6*(80*MIN(A22,MIN($B$6:$B$8))/$B$7+$F$7)+$H$7+$I$7+$J$7,0.6*(80*MIN(A22,MIN($B$6:$B$8))/$B$8+$F$8)+$H$8+$I$8+$J$8)</f>
        <v>28.2</v>
      </c>
      <c r="F22" s="16" t="n">
        <f aca="false">15000-A22</f>
        <v>10000</v>
      </c>
    </row>
    <row r="23" customFormat="false" ht="15" hidden="false" customHeight="false" outlineLevel="0" collapsed="false">
      <c r="A23" s="17" t="n">
        <v>10000</v>
      </c>
      <c r="B23" s="30" t="n">
        <f aca="false">80*MIN(A23,MIN($B$6:$B$8))/A23</f>
        <v>80</v>
      </c>
      <c r="C23" s="30" t="n">
        <f aca="false">0.6*(B23+$F$5)</f>
        <v>58.2</v>
      </c>
      <c r="D23" s="32" t="n">
        <f aca="false">C23+$H$5+$I$5+$J$5</f>
        <v>86.2</v>
      </c>
      <c r="E23" s="30" t="n">
        <f aca="false">D23-MAX(0.6*(80*MIN(A23,MIN($B$6:$B$8))/$B$6+$F$6)+$H$6+$I$6+$J$6,0.6*(80*MIN(A23,MIN($B$6:$B$8))/$B$7+$F$7)+$H$7+$I$7+$J$7,0.6*(80*MIN(A23,MIN($B$6:$B$8))/$B$8+$F$8)+$H$8+$I$8+$J$8)</f>
        <v>4.19999999999999</v>
      </c>
      <c r="F23" s="16" t="n">
        <f aca="false">15000-A23</f>
        <v>5000</v>
      </c>
    </row>
    <row r="24" customFormat="false" ht="15" hidden="false" customHeight="false" outlineLevel="0" collapsed="false">
      <c r="A24" s="17" t="n">
        <v>15000</v>
      </c>
      <c r="B24" s="30" t="n">
        <f aca="false">80*MIN(A24,MIN($B$6:$B$8))/A24</f>
        <v>53.3333333333333</v>
      </c>
      <c r="C24" s="30" t="n">
        <f aca="false">0.6*(B24+$F$5)</f>
        <v>42.2</v>
      </c>
      <c r="D24" s="32" t="n">
        <f aca="false">C24+$H$5+$I$5+$J$5</f>
        <v>70.2</v>
      </c>
      <c r="E24" s="30" t="n">
        <f aca="false">D24-MAX(0.6*(80*MIN(A24,MIN($B$6:$B$8))/$B$6+$F$6)+$H$6+$I$6+$J$6,0.6*(80*MIN(A24,MIN($B$6:$B$8))/$B$7+$F$7)+$H$7+$I$7+$J$7,0.6*(80*MIN(A24,MIN($B$6:$B$8))/$B$8+$F$8)+$H$8+$I$8+$J$8)</f>
        <v>-11.8</v>
      </c>
      <c r="F24" s="16" t="n">
        <f aca="false">15000-A24</f>
        <v>0</v>
      </c>
    </row>
    <row r="25" customFormat="false" ht="15" hidden="false" customHeight="false" outlineLevel="0" collapsed="false">
      <c r="A25" s="17" t="n">
        <v>20000</v>
      </c>
      <c r="B25" s="30" t="n">
        <f aca="false">80*MIN(A25,MIN($B$6:$B$8))/A25</f>
        <v>40</v>
      </c>
      <c r="C25" s="30" t="n">
        <f aca="false">0.6*(B25+$F$5)</f>
        <v>34.2</v>
      </c>
      <c r="D25" s="32" t="n">
        <f aca="false">C25+$H$5+$I$5+$J$5</f>
        <v>62.2</v>
      </c>
      <c r="E25" s="30" t="n">
        <f aca="false">D25-MAX(0.6*(80*MIN(A25,MIN($B$6:$B$8))/$B$6+$F$6)+$H$6+$I$6+$J$6,0.6*(80*MIN(A25,MIN($B$6:$B$8))/$B$7+$F$7)+$H$7+$I$7+$J$7,0.6*(80*MIN(A25,MIN($B$6:$B$8))/$B$8+$F$8)+$H$8+$I$8+$J$8)</f>
        <v>-19.8</v>
      </c>
      <c r="F25" s="16" t="n">
        <f aca="false">15000-A25</f>
        <v>-5000</v>
      </c>
    </row>
    <row r="26" customFormat="false" ht="15" hidden="false" customHeight="false" outlineLevel="0" collapsed="false">
      <c r="A26" s="17" t="n">
        <v>30000</v>
      </c>
      <c r="B26" s="30" t="n">
        <f aca="false">80*MIN(A26,MIN($B$6:$B$8))/A26</f>
        <v>26.6666666666667</v>
      </c>
      <c r="C26" s="30" t="n">
        <f aca="false">0.6*(B26+$F$5)</f>
        <v>26.2</v>
      </c>
      <c r="D26" s="32" t="n">
        <f aca="false">C26+$H$5+$I$5+$J$5</f>
        <v>54.2</v>
      </c>
      <c r="E26" s="30" t="n">
        <f aca="false">D26-MAX(0.6*(80*MIN(A26,MIN($B$6:$B$8))/$B$6+$F$6)+$H$6+$I$6+$J$6,0.6*(80*MIN(A26,MIN($B$6:$B$8))/$B$7+$F$7)+$H$7+$I$7+$J$7,0.6*(80*MIN(A26,MIN($B$6:$B$8))/$B$8+$F$8)+$H$8+$I$8+$J$8)</f>
        <v>-27.8</v>
      </c>
      <c r="F26" s="16" t="n">
        <f aca="false">15000-A26</f>
        <v>-15000</v>
      </c>
    </row>
    <row r="27" customFormat="false" ht="15" hidden="false" customHeight="false" outlineLevel="0" collapsed="false">
      <c r="A27" s="17" t="n">
        <v>45000</v>
      </c>
      <c r="B27" s="30" t="n">
        <f aca="false">80*MIN(A27,MIN($B$6:$B$8))/A27</f>
        <v>17.7777777777778</v>
      </c>
      <c r="C27" s="30" t="n">
        <f aca="false">0.6*(B27+$F$5)</f>
        <v>20.8666666666667</v>
      </c>
      <c r="D27" s="32" t="n">
        <f aca="false">C27+$H$5+$I$5+$J$5</f>
        <v>48.8666666666667</v>
      </c>
      <c r="E27" s="30" t="n">
        <f aca="false">D27-MAX(0.6*(80*MIN(A27,MIN($B$6:$B$8))/$B$6+$F$6)+$H$6+$I$6+$J$6,0.6*(80*MIN(A27,MIN($B$6:$B$8))/$B$7+$F$7)+$H$7+$I$7+$J$7,0.6*(80*MIN(A27,MIN($B$6:$B$8))/$B$8+$F$8)+$H$8+$I$8+$J$8)</f>
        <v>-33.1333333333333</v>
      </c>
      <c r="F27" s="16" t="n">
        <f aca="false">15000-A27</f>
        <v>-30000</v>
      </c>
    </row>
    <row r="29" customFormat="false" ht="30" hidden="false" customHeight="true" outlineLevel="0" collapsed="false">
      <c r="A29" s="8" t="s">
        <v>171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</sheetData>
  <mergeCells count="2">
    <mergeCell ref="D15:G16"/>
    <mergeCell ref="A29:N30"/>
  </mergeCells>
  <conditionalFormatting sqref="N5:N8">
    <cfRule type="cellIs" priority="2" operator="notEqual" aboveAverage="0" equalAverage="0" bottom="0" percent="0" rank="0" text="" dxfId="1">
      <formula>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3"/>
  </cols>
  <sheetData>
    <row r="1" customFormat="false" ht="17.15" hidden="false" customHeight="false" outlineLevel="0" collapsed="false">
      <c r="A1" s="6" t="s">
        <v>172</v>
      </c>
    </row>
    <row r="2" customFormat="false" ht="15" hidden="false" customHeight="false" outlineLevel="0" collapsed="false">
      <c r="A2" s="13" t="s">
        <v>173</v>
      </c>
      <c r="B2" s="13"/>
      <c r="C2" s="25" t="n">
        <f aca="false">SUM(I9:I45)</f>
        <v>180151.478249329</v>
      </c>
      <c r="F2" s="13" t="s">
        <v>174</v>
      </c>
      <c r="G2" s="13"/>
      <c r="H2" s="25" t="n">
        <f aca="false">MIN(M9:M69)</f>
        <v>-67472.1545901988</v>
      </c>
    </row>
    <row r="3" customFormat="false" ht="15" hidden="false" customHeight="false" outlineLevel="0" collapsed="false">
      <c r="A3" s="13" t="s">
        <v>175</v>
      </c>
      <c r="B3" s="13"/>
      <c r="C3" s="25" t="n">
        <f aca="false">SUM(I9:I69)</f>
        <v>242258.499463443</v>
      </c>
      <c r="F3" s="13" t="s">
        <v>176</v>
      </c>
      <c r="G3" s="13"/>
      <c r="H3" s="25" t="n">
        <f aca="false">INDEX(C9:C69,הנחות!B9+1)+INDEX(D9:D69,הנחות!B9+1)+INDEX(E9:E69,הנחות!B9+1)-INDEX(G9:G69,הנחות!B9+1)</f>
        <v>6145.31715837379</v>
      </c>
    </row>
    <row r="4" customFormat="false" ht="15" hidden="false" customHeight="false" outlineLevel="0" collapsed="false">
      <c r="A4" s="13" t="s">
        <v>177</v>
      </c>
      <c r="B4" s="13"/>
      <c r="C4" s="25" t="n">
        <f aca="false">L9+NPV(הנחות!B16/12,L10:L69)</f>
        <v>192314.322298042</v>
      </c>
      <c r="F4" s="13" t="s">
        <v>178</v>
      </c>
      <c r="G4" s="13"/>
      <c r="H4" s="25" t="n">
        <f aca="false">INDEX(C9:C69,הנחות!B25+1)+INDEX(D9:D69,הנחות!B25+1)+INDEX(E9:E69,הנחות!B25+1)-INDEX(G9:G69,הנחות!B25+1)</f>
        <v>5036.69561058359</v>
      </c>
    </row>
    <row r="5" customFormat="false" ht="15" hidden="false" customHeight="false" outlineLevel="0" collapsed="false">
      <c r="A5" s="14" t="s">
        <v>179</v>
      </c>
      <c r="B5" s="14"/>
      <c r="C5" s="14"/>
      <c r="D5" s="14"/>
      <c r="E5" s="14"/>
      <c r="F5" s="14"/>
      <c r="G5" s="14"/>
      <c r="H5" s="14"/>
    </row>
    <row r="8" customFormat="false" ht="48" hidden="false" customHeight="true" outlineLevel="0" collapsed="false">
      <c r="A8" s="7" t="s">
        <v>180</v>
      </c>
      <c r="B8" s="7" t="s">
        <v>181</v>
      </c>
      <c r="C8" s="7" t="s">
        <v>182</v>
      </c>
      <c r="D8" s="7" t="s">
        <v>183</v>
      </c>
      <c r="E8" s="7" t="s">
        <v>184</v>
      </c>
      <c r="F8" s="7" t="s">
        <v>185</v>
      </c>
      <c r="G8" s="7" t="s">
        <v>69</v>
      </c>
      <c r="H8" s="7" t="s">
        <v>186</v>
      </c>
      <c r="I8" s="7" t="s">
        <v>187</v>
      </c>
      <c r="J8" s="7" t="s">
        <v>188</v>
      </c>
      <c r="K8" s="7" t="s">
        <v>189</v>
      </c>
      <c r="L8" s="7" t="s">
        <v>190</v>
      </c>
      <c r="M8" s="7" t="s">
        <v>191</v>
      </c>
    </row>
    <row r="9" customFormat="false" ht="15" hidden="false" customHeight="false" outlineLevel="0" collapsed="false">
      <c r="A9" s="15" t="n">
        <v>0</v>
      </c>
      <c r="B9" s="15" t="n">
        <f aca="false">IF(AND(A9&gt;=1,A9&lt;=הנחות!$B$25),1,0)</f>
        <v>0</v>
      </c>
      <c r="C9" s="16" t="n">
        <f aca="false">'רכיבי בסיס'!$I$18*B9*(A9&gt;=הנחות!$B$9)</f>
        <v>0</v>
      </c>
      <c r="D9" s="16" t="n">
        <f aca="false">אופציונליים!$G$21*B9*(A9&gt;=הנחות!$B$9)</f>
        <v>0</v>
      </c>
      <c r="E9" s="16" t="n">
        <f aca="false">הנחות!$B$26*B9*(A9&gt;=הנחות!$B$9)</f>
        <v>0</v>
      </c>
      <c r="F9" s="16" t="n">
        <f aca="false">IF(A9=הנחות!$B$9,הנחות!$B$6,0)</f>
        <v>0</v>
      </c>
      <c r="G9" s="16" t="n">
        <f aca="false">('רכיבי בסיס'!$J$20*(1+הנחות!$B$13)^((A9-1)/12)+'רכיבי בסיס'!$J$19*(1+הנחות!$B$14)^((A9-1)/12)+אופציונליים!$H$22+הנחות!$B$27)*B9*(A9&gt;=הנחות!$B$9)</f>
        <v>0</v>
      </c>
      <c r="H9" s="16" t="n">
        <f aca="false">IF(A9=0,הנחות!$B$8,0)+IF(A9=1,הנחות!$B$7,0)</f>
        <v>6000</v>
      </c>
      <c r="I9" s="16" t="n">
        <f aca="false">C9+D9+E9+F9-G9-H9</f>
        <v>-6000</v>
      </c>
      <c r="J9" s="16" t="n">
        <f aca="false">C9+D9+E9+F9</f>
        <v>0</v>
      </c>
      <c r="K9" s="16" t="n">
        <f aca="false">IF(A9-הנחות!$B$12&gt;=0,INDEX($J$9:$J$69,A9-הנחות!$B$12+1),0)</f>
        <v>0</v>
      </c>
      <c r="L9" s="16" t="n">
        <f aca="false">K9-G9-H9</f>
        <v>-6000</v>
      </c>
      <c r="M9" s="16" t="n">
        <f aca="false">L9</f>
        <v>-6000</v>
      </c>
    </row>
    <row r="10" customFormat="false" ht="15" hidden="false" customHeight="false" outlineLevel="0" collapsed="false">
      <c r="A10" s="15" t="n">
        <v>1</v>
      </c>
      <c r="B10" s="15" t="n">
        <f aca="false">IF(AND(A10&gt;=1,A10&lt;=הנחות!$B$25),1,0)</f>
        <v>1</v>
      </c>
      <c r="C10" s="16" t="n">
        <f aca="false">'רכיבי בסיס'!$I$18*B10*(A10&gt;=הנחות!$B$9)</f>
        <v>0</v>
      </c>
      <c r="D10" s="16" t="n">
        <f aca="false">אופציונליים!$G$21*B10*(A10&gt;=הנחות!$B$9)</f>
        <v>0</v>
      </c>
      <c r="E10" s="16" t="n">
        <f aca="false">הנחות!$B$26*B10*(A10&gt;=הנחות!$B$9)</f>
        <v>0</v>
      </c>
      <c r="F10" s="16" t="n">
        <f aca="false">IF(A10=הנחות!$B$9,הנחות!$B$6,0)</f>
        <v>0</v>
      </c>
      <c r="G10" s="16" t="n">
        <f aca="false">('רכיבי בסיס'!$J$20*(1+הנחות!$B$13)^((A10-1)/12)+'רכיבי בסיס'!$J$19*(1+הנחות!$B$14)^((A10-1)/12)+אופציונליים!$H$22+הנחות!$B$27)*B10*(A10&gt;=הנחות!$B$9)</f>
        <v>0</v>
      </c>
      <c r="H10" s="16" t="n">
        <f aca="false">IF(A10=0,הנחות!$B$8,0)+IF(A10=1,הנחות!$B$7,0)</f>
        <v>30000</v>
      </c>
      <c r="I10" s="16" t="n">
        <f aca="false">C10+D10+E10+F10-G10-H10</f>
        <v>-30000</v>
      </c>
      <c r="J10" s="16" t="n">
        <f aca="false">C10+D10+E10+F10</f>
        <v>0</v>
      </c>
      <c r="K10" s="16" t="n">
        <f aca="false">IF(A10-הנחות!$B$12&gt;=0,INDEX($J$9:$J$69,A10-הנחות!$B$12+1),0)</f>
        <v>0</v>
      </c>
      <c r="L10" s="16" t="n">
        <f aca="false">K10-G10-H10</f>
        <v>-30000</v>
      </c>
      <c r="M10" s="16" t="n">
        <f aca="false">M9+L10</f>
        <v>-36000</v>
      </c>
    </row>
    <row r="11" customFormat="false" ht="15" hidden="false" customHeight="false" outlineLevel="0" collapsed="false">
      <c r="A11" s="15" t="n">
        <v>2</v>
      </c>
      <c r="B11" s="15" t="n">
        <f aca="false">IF(AND(A11&gt;=1,A11&lt;=הנחות!$B$25),1,0)</f>
        <v>1</v>
      </c>
      <c r="C11" s="16" t="n">
        <f aca="false">'רכיבי בסיס'!$I$18*B11*(A11&gt;=הנחות!$B$9)</f>
        <v>18020</v>
      </c>
      <c r="D11" s="16" t="n">
        <f aca="false">אופציונליים!$G$21*B11*(A11&gt;=הנחות!$B$9)</f>
        <v>0</v>
      </c>
      <c r="E11" s="16" t="n">
        <f aca="false">הנחות!$B$26*B11*(A11&gt;=הנחות!$B$9)</f>
        <v>3850</v>
      </c>
      <c r="F11" s="16" t="n">
        <f aca="false">IF(A11=הנחות!$B$9,הנחות!$B$6,0)</f>
        <v>15000</v>
      </c>
      <c r="G11" s="16" t="n">
        <f aca="false">('רכיבי בסיס'!$J$20*(1+הנחות!$B$13)^((A11-1)/12)+'רכיבי בסיס'!$J$19*(1+הנחות!$B$14)^((A11-1)/12)+אופציונליים!$H$22+הנחות!$B$27)*B11*(A11&gt;=הנחות!$B$9)</f>
        <v>15724.6828416262</v>
      </c>
      <c r="H11" s="16" t="n">
        <f aca="false">IF(A11=0,הנחות!$B$8,0)+IF(A11=1,הנחות!$B$7,0)</f>
        <v>0</v>
      </c>
      <c r="I11" s="16" t="n">
        <f aca="false">C11+D11+E11+F11-G11-H11</f>
        <v>21145.3171583738</v>
      </c>
      <c r="J11" s="16" t="n">
        <f aca="false">C11+D11+E11+F11</f>
        <v>36870</v>
      </c>
      <c r="K11" s="16" t="n">
        <f aca="false">IF(A11-הנחות!$B$12&gt;=0,INDEX($J$9:$J$69,A11-הנחות!$B$12+1),0)</f>
        <v>0</v>
      </c>
      <c r="L11" s="16" t="n">
        <f aca="false">K11-G11-H11</f>
        <v>-15724.6828416262</v>
      </c>
      <c r="M11" s="16" t="n">
        <f aca="false">M10+L11</f>
        <v>-51724.6828416262</v>
      </c>
    </row>
    <row r="12" customFormat="false" ht="15" hidden="false" customHeight="false" outlineLevel="0" collapsed="false">
      <c r="A12" s="15" t="n">
        <v>3</v>
      </c>
      <c r="B12" s="15" t="n">
        <f aca="false">IF(AND(A12&gt;=1,A12&lt;=הנחות!$B$25),1,0)</f>
        <v>1</v>
      </c>
      <c r="C12" s="16" t="n">
        <f aca="false">'רכיבי בסיס'!$I$18*B12*(A12&gt;=הנחות!$B$9)</f>
        <v>18020</v>
      </c>
      <c r="D12" s="16" t="n">
        <f aca="false">אופציונליים!$G$21*B12*(A12&gt;=הנחות!$B$9)</f>
        <v>0</v>
      </c>
      <c r="E12" s="16" t="n">
        <f aca="false">הנחות!$B$26*B12*(A12&gt;=הנחות!$B$9)</f>
        <v>3850</v>
      </c>
      <c r="F12" s="16" t="n">
        <f aca="false">IF(A12=הנחות!$B$9,הנחות!$B$6,0)</f>
        <v>0</v>
      </c>
      <c r="G12" s="16" t="n">
        <f aca="false">('רכיבי בסיס'!$J$20*(1+הנחות!$B$13)^((A12-1)/12)+'רכיבי בסיס'!$J$19*(1+הנחות!$B$14)^((A12-1)/12)+אופציונליים!$H$22+הנחות!$B$27)*B12*(A12&gt;=הנחות!$B$9)</f>
        <v>15747.4717485726</v>
      </c>
      <c r="H12" s="16" t="n">
        <f aca="false">IF(A12=0,הנחות!$B$8,0)+IF(A12=1,הנחות!$B$7,0)</f>
        <v>0</v>
      </c>
      <c r="I12" s="16" t="n">
        <f aca="false">C12+D12+E12+F12-G12-H12</f>
        <v>6122.52825142744</v>
      </c>
      <c r="J12" s="16" t="n">
        <f aca="false">C12+D12+E12+F12</f>
        <v>21870</v>
      </c>
      <c r="K12" s="16" t="n">
        <f aca="false">IF(A12-הנחות!$B$12&gt;=0,INDEX($J$9:$J$69,A12-הנחות!$B$12+1),0)</f>
        <v>0</v>
      </c>
      <c r="L12" s="16" t="n">
        <f aca="false">K12-G12-H12</f>
        <v>-15747.4717485726</v>
      </c>
      <c r="M12" s="16" t="n">
        <f aca="false">M11+L12</f>
        <v>-67472.1545901988</v>
      </c>
    </row>
    <row r="13" customFormat="false" ht="15" hidden="false" customHeight="false" outlineLevel="0" collapsed="false">
      <c r="A13" s="15" t="n">
        <v>4</v>
      </c>
      <c r="B13" s="15" t="n">
        <f aca="false">IF(AND(A13&gt;=1,A13&lt;=הנחות!$B$25),1,0)</f>
        <v>1</v>
      </c>
      <c r="C13" s="16" t="n">
        <f aca="false">'רכיבי בסיס'!$I$18*B13*(A13&gt;=הנחות!$B$9)</f>
        <v>18020</v>
      </c>
      <c r="D13" s="16" t="n">
        <f aca="false">אופציונליים!$G$21*B13*(A13&gt;=הנחות!$B$9)</f>
        <v>0</v>
      </c>
      <c r="E13" s="16" t="n">
        <f aca="false">הנחות!$B$26*B13*(A13&gt;=הנחות!$B$9)</f>
        <v>3850</v>
      </c>
      <c r="F13" s="16" t="n">
        <f aca="false">IF(A13=הנחות!$B$9,הנחות!$B$6,0)</f>
        <v>0</v>
      </c>
      <c r="G13" s="16" t="n">
        <f aca="false">('רכיבי בסיס'!$J$20*(1+הנחות!$B$13)^((A13-1)/12)+'רכיבי בסיס'!$J$19*(1+הנחות!$B$14)^((A13-1)/12)+אופציונליים!$H$22+הנחות!$B$27)*B13*(A13&gt;=הנחות!$B$9)</f>
        <v>15770.3168591113</v>
      </c>
      <c r="H13" s="16" t="n">
        <f aca="false">IF(A13=0,הנחות!$B$8,0)+IF(A13=1,הנחות!$B$7,0)</f>
        <v>0</v>
      </c>
      <c r="I13" s="16" t="n">
        <f aca="false">C13+D13+E13+F13-G13-H13</f>
        <v>6099.68314088875</v>
      </c>
      <c r="J13" s="16" t="n">
        <f aca="false">C13+D13+E13+F13</f>
        <v>21870</v>
      </c>
      <c r="K13" s="16" t="n">
        <f aca="false">IF(A13-הנחות!$B$12&gt;=0,INDEX($J$9:$J$69,A13-הנחות!$B$12+1),0)</f>
        <v>36870</v>
      </c>
      <c r="L13" s="16" t="n">
        <f aca="false">K13-G13-H13</f>
        <v>21099.6831408888</v>
      </c>
      <c r="M13" s="16" t="n">
        <f aca="false">M12+L13</f>
        <v>-46372.47144931</v>
      </c>
    </row>
    <row r="14" customFormat="false" ht="15" hidden="false" customHeight="false" outlineLevel="0" collapsed="false">
      <c r="A14" s="15" t="n">
        <v>5</v>
      </c>
      <c r="B14" s="15" t="n">
        <f aca="false">IF(AND(A14&gt;=1,A14&lt;=הנחות!$B$25),1,0)</f>
        <v>1</v>
      </c>
      <c r="C14" s="16" t="n">
        <f aca="false">'רכיבי בסיס'!$I$18*B14*(A14&gt;=הנחות!$B$9)</f>
        <v>18020</v>
      </c>
      <c r="D14" s="16" t="n">
        <f aca="false">אופציונליים!$G$21*B14*(A14&gt;=הנחות!$B$9)</f>
        <v>0</v>
      </c>
      <c r="E14" s="16" t="n">
        <f aca="false">הנחות!$B$26*B14*(A14&gt;=הנחות!$B$9)</f>
        <v>3850</v>
      </c>
      <c r="F14" s="16" t="n">
        <f aca="false">IF(A14=הנחות!$B$9,הנחות!$B$6,0)</f>
        <v>0</v>
      </c>
      <c r="G14" s="16" t="n">
        <f aca="false">('רכיבי בסיס'!$J$20*(1+הנחות!$B$13)^((A14-1)/12)+'רכיבי בסיס'!$J$19*(1+הנחות!$B$14)^((A14-1)/12)+אופציונליים!$H$22+הנחות!$B$27)*B14*(A14&gt;=הנחות!$B$9)</f>
        <v>15793.2183118555</v>
      </c>
      <c r="H14" s="16" t="n">
        <f aca="false">IF(A14=0,הנחות!$B$8,0)+IF(A14=1,הנחות!$B$7,0)</f>
        <v>0</v>
      </c>
      <c r="I14" s="16" t="n">
        <f aca="false">C14+D14+E14+F14-G14-H14</f>
        <v>6076.78168814449</v>
      </c>
      <c r="J14" s="16" t="n">
        <f aca="false">C14+D14+E14+F14</f>
        <v>21870</v>
      </c>
      <c r="K14" s="16" t="n">
        <f aca="false">IF(A14-הנחות!$B$12&gt;=0,INDEX($J$9:$J$69,A14-הנחות!$B$12+1),0)</f>
        <v>21870</v>
      </c>
      <c r="L14" s="16" t="n">
        <f aca="false">K14-G14-H14</f>
        <v>6076.78168814449</v>
      </c>
      <c r="M14" s="16" t="n">
        <f aca="false">M13+L14</f>
        <v>-40295.6897611655</v>
      </c>
    </row>
    <row r="15" customFormat="false" ht="15" hidden="false" customHeight="false" outlineLevel="0" collapsed="false">
      <c r="A15" s="15" t="n">
        <v>6</v>
      </c>
      <c r="B15" s="15" t="n">
        <f aca="false">IF(AND(A15&gt;=1,A15&lt;=הנחות!$B$25),1,0)</f>
        <v>1</v>
      </c>
      <c r="C15" s="16" t="n">
        <f aca="false">'רכיבי בסיס'!$I$18*B15*(A15&gt;=הנחות!$B$9)</f>
        <v>18020</v>
      </c>
      <c r="D15" s="16" t="n">
        <f aca="false">אופציונליים!$G$21*B15*(A15&gt;=הנחות!$B$9)</f>
        <v>0</v>
      </c>
      <c r="E15" s="16" t="n">
        <f aca="false">הנחות!$B$26*B15*(A15&gt;=הנחות!$B$9)</f>
        <v>3850</v>
      </c>
      <c r="F15" s="16" t="n">
        <f aca="false">IF(A15=הנחות!$B$9,הנחות!$B$6,0)</f>
        <v>0</v>
      </c>
      <c r="G15" s="16" t="n">
        <f aca="false">('רכיבי בסיס'!$J$20*(1+הנחות!$B$13)^((A15-1)/12)+'רכיבי בסיס'!$J$19*(1+הנחות!$B$14)^((A15-1)/12)+אופציונליים!$H$22+הנחות!$B$27)*B15*(A15&gt;=הנחות!$B$9)</f>
        <v>15816.1762457604</v>
      </c>
      <c r="H15" s="16" t="n">
        <f aca="false">IF(A15=0,הנחות!$B$8,0)+IF(A15=1,הנחות!$B$7,0)</f>
        <v>0</v>
      </c>
      <c r="I15" s="16" t="n">
        <f aca="false">C15+D15+E15+F15-G15-H15</f>
        <v>6053.82375423958</v>
      </c>
      <c r="J15" s="16" t="n">
        <f aca="false">C15+D15+E15+F15</f>
        <v>21870</v>
      </c>
      <c r="K15" s="16" t="n">
        <f aca="false">IF(A15-הנחות!$B$12&gt;=0,INDEX($J$9:$J$69,A15-הנחות!$B$12+1),0)</f>
        <v>21870</v>
      </c>
      <c r="L15" s="16" t="n">
        <f aca="false">K15-G15-H15</f>
        <v>6053.82375423958</v>
      </c>
      <c r="M15" s="16" t="n">
        <f aca="false">M14+L15</f>
        <v>-34241.866006926</v>
      </c>
    </row>
    <row r="16" customFormat="false" ht="15" hidden="false" customHeight="false" outlineLevel="0" collapsed="false">
      <c r="A16" s="15" t="n">
        <v>7</v>
      </c>
      <c r="B16" s="15" t="n">
        <f aca="false">IF(AND(A16&gt;=1,A16&lt;=הנחות!$B$25),1,0)</f>
        <v>1</v>
      </c>
      <c r="C16" s="16" t="n">
        <f aca="false">'רכיבי בסיס'!$I$18*B16*(A16&gt;=הנחות!$B$9)</f>
        <v>18020</v>
      </c>
      <c r="D16" s="16" t="n">
        <f aca="false">אופציונליים!$G$21*B16*(A16&gt;=הנחות!$B$9)</f>
        <v>0</v>
      </c>
      <c r="E16" s="16" t="n">
        <f aca="false">הנחות!$B$26*B16*(A16&gt;=הנחות!$B$9)</f>
        <v>3850</v>
      </c>
      <c r="F16" s="16" t="n">
        <f aca="false">IF(A16=הנחות!$B$9,הנחות!$B$6,0)</f>
        <v>0</v>
      </c>
      <c r="G16" s="16" t="n">
        <f aca="false">('רכיבי בסיס'!$J$20*(1+הנחות!$B$13)^((A16-1)/12)+'רכיבי בסיס'!$J$19*(1+הנחות!$B$14)^((A16-1)/12)+אופציונליים!$H$22+הנחות!$B$27)*B16*(A16&gt;=הנחות!$B$9)</f>
        <v>15839.1908001238</v>
      </c>
      <c r="H16" s="16" t="n">
        <f aca="false">IF(A16=0,הנחות!$B$8,0)+IF(A16=1,הנחות!$B$7,0)</f>
        <v>0</v>
      </c>
      <c r="I16" s="16" t="n">
        <f aca="false">C16+D16+E16+F16-G16-H16</f>
        <v>6030.80919987625</v>
      </c>
      <c r="J16" s="16" t="n">
        <f aca="false">C16+D16+E16+F16</f>
        <v>21870</v>
      </c>
      <c r="K16" s="16" t="n">
        <f aca="false">IF(A16-הנחות!$B$12&gt;=0,INDEX($J$9:$J$69,A16-הנחות!$B$12+1),0)</f>
        <v>21870</v>
      </c>
      <c r="L16" s="16" t="n">
        <f aca="false">K16-G16-H16</f>
        <v>6030.80919987625</v>
      </c>
      <c r="M16" s="16" t="n">
        <f aca="false">M15+L16</f>
        <v>-28211.0568070497</v>
      </c>
    </row>
    <row r="17" customFormat="false" ht="15" hidden="false" customHeight="false" outlineLevel="0" collapsed="false">
      <c r="A17" s="15" t="n">
        <v>8</v>
      </c>
      <c r="B17" s="15" t="n">
        <f aca="false">IF(AND(A17&gt;=1,A17&lt;=הנחות!$B$25),1,0)</f>
        <v>1</v>
      </c>
      <c r="C17" s="16" t="n">
        <f aca="false">'רכיבי בסיס'!$I$18*B17*(A17&gt;=הנחות!$B$9)</f>
        <v>18020</v>
      </c>
      <c r="D17" s="16" t="n">
        <f aca="false">אופציונליים!$G$21*B17*(A17&gt;=הנחות!$B$9)</f>
        <v>0</v>
      </c>
      <c r="E17" s="16" t="n">
        <f aca="false">הנחות!$B$26*B17*(A17&gt;=הנחות!$B$9)</f>
        <v>3850</v>
      </c>
      <c r="F17" s="16" t="n">
        <f aca="false">IF(A17=הנחות!$B$9,הנחות!$B$6,0)</f>
        <v>0</v>
      </c>
      <c r="G17" s="16" t="n">
        <f aca="false">('רכיבי בסיס'!$J$20*(1+הנחות!$B$13)^((A17-1)/12)+'רכיבי בסיס'!$J$19*(1+הנחות!$B$14)^((A17-1)/12)+אופציונליים!$H$22+הנחות!$B$27)*B17*(A17&gt;=הנחות!$B$9)</f>
        <v>15862.2621145868</v>
      </c>
      <c r="H17" s="16" t="n">
        <f aca="false">IF(A17=0,הנחות!$B$8,0)+IF(A17=1,הנחות!$B$7,0)</f>
        <v>0</v>
      </c>
      <c r="I17" s="16" t="n">
        <f aca="false">C17+D17+E17+F17-G17-H17</f>
        <v>6007.73788541317</v>
      </c>
      <c r="J17" s="16" t="n">
        <f aca="false">C17+D17+E17+F17</f>
        <v>21870</v>
      </c>
      <c r="K17" s="16" t="n">
        <f aca="false">IF(A17-הנחות!$B$12&gt;=0,INDEX($J$9:$J$69,A17-הנחות!$B$12+1),0)</f>
        <v>21870</v>
      </c>
      <c r="L17" s="16" t="n">
        <f aca="false">K17-G17-H17</f>
        <v>6007.73788541317</v>
      </c>
      <c r="M17" s="16" t="n">
        <f aca="false">M16+L17</f>
        <v>-22203.3189216365</v>
      </c>
    </row>
    <row r="18" customFormat="false" ht="15" hidden="false" customHeight="false" outlineLevel="0" collapsed="false">
      <c r="A18" s="15" t="n">
        <v>9</v>
      </c>
      <c r="B18" s="15" t="n">
        <f aca="false">IF(AND(A18&gt;=1,A18&lt;=הנחות!$B$25),1,0)</f>
        <v>1</v>
      </c>
      <c r="C18" s="16" t="n">
        <f aca="false">'רכיבי בסיס'!$I$18*B18*(A18&gt;=הנחות!$B$9)</f>
        <v>18020</v>
      </c>
      <c r="D18" s="16" t="n">
        <f aca="false">אופציונליים!$G$21*B18*(A18&gt;=הנחות!$B$9)</f>
        <v>0</v>
      </c>
      <c r="E18" s="16" t="n">
        <f aca="false">הנחות!$B$26*B18*(A18&gt;=הנחות!$B$9)</f>
        <v>3850</v>
      </c>
      <c r="F18" s="16" t="n">
        <f aca="false">IF(A18=הנחות!$B$9,הנחות!$B$6,0)</f>
        <v>0</v>
      </c>
      <c r="G18" s="16" t="n">
        <f aca="false">('רכיבי בסיס'!$J$20*(1+הנחות!$B$13)^((A18-1)/12)+'רכיבי בסיס'!$J$19*(1+הנחות!$B$14)^((A18-1)/12)+אופציונליים!$H$22+הנחות!$B$27)*B18*(A18&gt;=הנחות!$B$9)</f>
        <v>15885.3903291354</v>
      </c>
      <c r="H18" s="16" t="n">
        <f aca="false">IF(A18=0,הנחות!$B$8,0)+IF(A18=1,הנחות!$B$7,0)</f>
        <v>0</v>
      </c>
      <c r="I18" s="16" t="n">
        <f aca="false">C18+D18+E18+F18-G18-H18</f>
        <v>5984.60967086462</v>
      </c>
      <c r="J18" s="16" t="n">
        <f aca="false">C18+D18+E18+F18</f>
        <v>21870</v>
      </c>
      <c r="K18" s="16" t="n">
        <f aca="false">IF(A18-הנחות!$B$12&gt;=0,INDEX($J$9:$J$69,A18-הנחות!$B$12+1),0)</f>
        <v>21870</v>
      </c>
      <c r="L18" s="16" t="n">
        <f aca="false">K18-G18-H18</f>
        <v>5984.60967086462</v>
      </c>
      <c r="M18" s="16" t="n">
        <f aca="false">M17+L18</f>
        <v>-16218.7092507719</v>
      </c>
    </row>
    <row r="19" customFormat="false" ht="15" hidden="false" customHeight="false" outlineLevel="0" collapsed="false">
      <c r="A19" s="15" t="n">
        <v>10</v>
      </c>
      <c r="B19" s="15" t="n">
        <f aca="false">IF(AND(A19&gt;=1,A19&lt;=הנחות!$B$25),1,0)</f>
        <v>1</v>
      </c>
      <c r="C19" s="16" t="n">
        <f aca="false">'רכיבי בסיס'!$I$18*B19*(A19&gt;=הנחות!$B$9)</f>
        <v>18020</v>
      </c>
      <c r="D19" s="16" t="n">
        <f aca="false">אופציונליים!$G$21*B19*(A19&gt;=הנחות!$B$9)</f>
        <v>0</v>
      </c>
      <c r="E19" s="16" t="n">
        <f aca="false">הנחות!$B$26*B19*(A19&gt;=הנחות!$B$9)</f>
        <v>3850</v>
      </c>
      <c r="F19" s="16" t="n">
        <f aca="false">IF(A19=הנחות!$B$9,הנחות!$B$6,0)</f>
        <v>0</v>
      </c>
      <c r="G19" s="16" t="n">
        <f aca="false">('רכיבי בסיס'!$J$20*(1+הנחות!$B$13)^((A19-1)/12)+'רכיבי בסיס'!$J$19*(1+הנחות!$B$14)^((A19-1)/12)+אופציונליים!$H$22+הנחות!$B$27)*B19*(A19&gt;=הנחות!$B$9)</f>
        <v>15908.5755841004</v>
      </c>
      <c r="H19" s="16" t="n">
        <f aca="false">IF(A19=0,הנחות!$B$8,0)+IF(A19=1,הנחות!$B$7,0)</f>
        <v>0</v>
      </c>
      <c r="I19" s="16" t="n">
        <f aca="false">C19+D19+E19+F19-G19-H19</f>
        <v>5961.42441589964</v>
      </c>
      <c r="J19" s="16" t="n">
        <f aca="false">C19+D19+E19+F19</f>
        <v>21870</v>
      </c>
      <c r="K19" s="16" t="n">
        <f aca="false">IF(A19-הנחות!$B$12&gt;=0,INDEX($J$9:$J$69,A19-הנחות!$B$12+1),0)</f>
        <v>21870</v>
      </c>
      <c r="L19" s="16" t="n">
        <f aca="false">K19-G19-H19</f>
        <v>5961.42441589964</v>
      </c>
      <c r="M19" s="16" t="n">
        <f aca="false">M18+L19</f>
        <v>-10257.2848348723</v>
      </c>
    </row>
    <row r="20" customFormat="false" ht="15" hidden="false" customHeight="false" outlineLevel="0" collapsed="false">
      <c r="A20" s="15" t="n">
        <v>11</v>
      </c>
      <c r="B20" s="15" t="n">
        <f aca="false">IF(AND(A20&gt;=1,A20&lt;=הנחות!$B$25),1,0)</f>
        <v>1</v>
      </c>
      <c r="C20" s="16" t="n">
        <f aca="false">'רכיבי בסיס'!$I$18*B20*(A20&gt;=הנחות!$B$9)</f>
        <v>18020</v>
      </c>
      <c r="D20" s="16" t="n">
        <f aca="false">אופציונליים!$G$21*B20*(A20&gt;=הנחות!$B$9)</f>
        <v>0</v>
      </c>
      <c r="E20" s="16" t="n">
        <f aca="false">הנחות!$B$26*B20*(A20&gt;=הנחות!$B$9)</f>
        <v>3850</v>
      </c>
      <c r="F20" s="16" t="n">
        <f aca="false">IF(A20=הנחות!$B$9,הנחות!$B$6,0)</f>
        <v>0</v>
      </c>
      <c r="G20" s="16" t="n">
        <f aca="false">('רכיבי בסיס'!$J$20*(1+הנחות!$B$13)^((A20-1)/12)+'רכיבי בסיס'!$J$19*(1+הנחות!$B$14)^((A20-1)/12)+אופציונליים!$H$22+הנחות!$B$27)*B20*(A20&gt;=הנחות!$B$9)</f>
        <v>15931.8180201588</v>
      </c>
      <c r="H20" s="16" t="n">
        <f aca="false">IF(A20=0,הנחות!$B$8,0)+IF(A20=1,הנחות!$B$7,0)</f>
        <v>0</v>
      </c>
      <c r="I20" s="16" t="n">
        <f aca="false">C20+D20+E20+F20-G20-H20</f>
        <v>5938.18197984118</v>
      </c>
      <c r="J20" s="16" t="n">
        <f aca="false">C20+D20+E20+F20</f>
        <v>21870</v>
      </c>
      <c r="K20" s="16" t="n">
        <f aca="false">IF(A20-הנחות!$B$12&gt;=0,INDEX($J$9:$J$69,A20-הנחות!$B$12+1),0)</f>
        <v>21870</v>
      </c>
      <c r="L20" s="16" t="n">
        <f aca="false">K20-G20-H20</f>
        <v>5938.18197984118</v>
      </c>
      <c r="M20" s="16" t="n">
        <f aca="false">M19+L20</f>
        <v>-4319.1028550311</v>
      </c>
    </row>
    <row r="21" customFormat="false" ht="15" hidden="false" customHeight="false" outlineLevel="0" collapsed="false">
      <c r="A21" s="15" t="n">
        <v>12</v>
      </c>
      <c r="B21" s="15" t="n">
        <f aca="false">IF(AND(A21&gt;=1,A21&lt;=הנחות!$B$25),1,0)</f>
        <v>1</v>
      </c>
      <c r="C21" s="16" t="n">
        <f aca="false">'רכיבי בסיס'!$I$18*B21*(A21&gt;=הנחות!$B$9)</f>
        <v>18020</v>
      </c>
      <c r="D21" s="16" t="n">
        <f aca="false">אופציונליים!$G$21*B21*(A21&gt;=הנחות!$B$9)</f>
        <v>0</v>
      </c>
      <c r="E21" s="16" t="n">
        <f aca="false">הנחות!$B$26*B21*(A21&gt;=הנחות!$B$9)</f>
        <v>3850</v>
      </c>
      <c r="F21" s="16" t="n">
        <f aca="false">IF(A21=הנחות!$B$9,הנחות!$B$6,0)</f>
        <v>0</v>
      </c>
      <c r="G21" s="16" t="n">
        <f aca="false">('רכיבי בסיס'!$J$20*(1+הנחות!$B$13)^((A21-1)/12)+'רכיבי בסיס'!$J$19*(1+הנחות!$B$14)^((A21-1)/12)+אופציונליים!$H$22+הנחות!$B$27)*B21*(A21&gt;=הנחות!$B$9)</f>
        <v>15955.1177783348</v>
      </c>
      <c r="H21" s="16" t="n">
        <f aca="false">IF(A21=0,הנחות!$B$8,0)+IF(A21=1,הנחות!$B$7,0)</f>
        <v>0</v>
      </c>
      <c r="I21" s="16" t="n">
        <f aca="false">C21+D21+E21+F21-G21-H21</f>
        <v>5914.88222166524</v>
      </c>
      <c r="J21" s="16" t="n">
        <f aca="false">C21+D21+E21+F21</f>
        <v>21870</v>
      </c>
      <c r="K21" s="16" t="n">
        <f aca="false">IF(A21-הנחות!$B$12&gt;=0,INDEX($J$9:$J$69,A21-הנחות!$B$12+1),0)</f>
        <v>21870</v>
      </c>
      <c r="L21" s="16" t="n">
        <f aca="false">K21-G21-H21</f>
        <v>5914.88222166524</v>
      </c>
      <c r="M21" s="16" t="n">
        <f aca="false">M20+L21</f>
        <v>1595.77936663414</v>
      </c>
    </row>
    <row r="22" customFormat="false" ht="15" hidden="false" customHeight="false" outlineLevel="0" collapsed="false">
      <c r="A22" s="15" t="n">
        <v>13</v>
      </c>
      <c r="B22" s="15" t="n">
        <f aca="false">IF(AND(A22&gt;=1,A22&lt;=הנחות!$B$25),1,0)</f>
        <v>1</v>
      </c>
      <c r="C22" s="16" t="n">
        <f aca="false">'רכיבי בסיס'!$I$18*B22*(A22&gt;=הנחות!$B$9)</f>
        <v>18020</v>
      </c>
      <c r="D22" s="16" t="n">
        <f aca="false">אופציונליים!$G$21*B22*(A22&gt;=הנחות!$B$9)</f>
        <v>0</v>
      </c>
      <c r="E22" s="16" t="n">
        <f aca="false">הנחות!$B$26*B22*(A22&gt;=הנחות!$B$9)</f>
        <v>3850</v>
      </c>
      <c r="F22" s="16" t="n">
        <f aca="false">IF(A22=הנחות!$B$9,הנחות!$B$6,0)</f>
        <v>0</v>
      </c>
      <c r="G22" s="16" t="n">
        <f aca="false">('רכיבי בסיס'!$J$20*(1+הנחות!$B$13)^((A22-1)/12)+'רכיבי בסיס'!$J$19*(1+הנחות!$B$14)^((A22-1)/12)+אופציונליים!$H$22+הנחות!$B$27)*B22*(A22&gt;=הנחות!$B$9)</f>
        <v>15978.475</v>
      </c>
      <c r="H22" s="16" t="n">
        <f aca="false">IF(A22=0,הנחות!$B$8,0)+IF(A22=1,הנחות!$B$7,0)</f>
        <v>0</v>
      </c>
      <c r="I22" s="16" t="n">
        <f aca="false">C22+D22+E22+F22-G22-H22</f>
        <v>5891.525</v>
      </c>
      <c r="J22" s="16" t="n">
        <f aca="false">C22+D22+E22+F22</f>
        <v>21870</v>
      </c>
      <c r="K22" s="16" t="n">
        <f aca="false">IF(A22-הנחות!$B$12&gt;=0,INDEX($J$9:$J$69,A22-הנחות!$B$12+1),0)</f>
        <v>21870</v>
      </c>
      <c r="L22" s="16" t="n">
        <f aca="false">K22-G22-H22</f>
        <v>5891.525</v>
      </c>
      <c r="M22" s="16" t="n">
        <f aca="false">M21+L22</f>
        <v>7487.30436663414</v>
      </c>
    </row>
    <row r="23" customFormat="false" ht="15" hidden="false" customHeight="false" outlineLevel="0" collapsed="false">
      <c r="A23" s="15" t="n">
        <v>14</v>
      </c>
      <c r="B23" s="15" t="n">
        <f aca="false">IF(AND(A23&gt;=1,A23&lt;=הנחות!$B$25),1,0)</f>
        <v>1</v>
      </c>
      <c r="C23" s="16" t="n">
        <f aca="false">'רכיבי בסיס'!$I$18*B23*(A23&gt;=הנחות!$B$9)</f>
        <v>18020</v>
      </c>
      <c r="D23" s="16" t="n">
        <f aca="false">אופציונליים!$G$21*B23*(A23&gt;=הנחות!$B$9)</f>
        <v>0</v>
      </c>
      <c r="E23" s="16" t="n">
        <f aca="false">הנחות!$B$26*B23*(A23&gt;=הנחות!$B$9)</f>
        <v>3850</v>
      </c>
      <c r="F23" s="16" t="n">
        <f aca="false">IF(A23=הנחות!$B$9,הנחות!$B$6,0)</f>
        <v>0</v>
      </c>
      <c r="G23" s="16" t="n">
        <f aca="false">('רכיבי בסיס'!$J$20*(1+הנחות!$B$13)^((A23-1)/12)+'רכיבי בסיס'!$J$19*(1+הנחות!$B$14)^((A23-1)/12)+אופציונליים!$H$22+הנחות!$B$27)*B23*(A23&gt;=הנחות!$B$9)</f>
        <v>16001.889826875</v>
      </c>
      <c r="H23" s="16" t="n">
        <f aca="false">IF(A23=0,הנחות!$B$8,0)+IF(A23=1,הנחות!$B$7,0)</f>
        <v>0</v>
      </c>
      <c r="I23" s="16" t="n">
        <f aca="false">C23+D23+E23+F23-G23-H23</f>
        <v>5868.11017312501</v>
      </c>
      <c r="J23" s="16" t="n">
        <f aca="false">C23+D23+E23+F23</f>
        <v>21870</v>
      </c>
      <c r="K23" s="16" t="n">
        <f aca="false">IF(A23-הנחות!$B$12&gt;=0,INDEX($J$9:$J$69,A23-הנחות!$B$12+1),0)</f>
        <v>21870</v>
      </c>
      <c r="L23" s="16" t="n">
        <f aca="false">K23-G23-H23</f>
        <v>5868.11017312501</v>
      </c>
      <c r="M23" s="16" t="n">
        <f aca="false">M22+L23</f>
        <v>13355.4145397592</v>
      </c>
    </row>
    <row r="24" customFormat="false" ht="15" hidden="false" customHeight="false" outlineLevel="0" collapsed="false">
      <c r="A24" s="15" t="n">
        <v>15</v>
      </c>
      <c r="B24" s="15" t="n">
        <f aca="false">IF(AND(A24&gt;=1,A24&lt;=הנחות!$B$25),1,0)</f>
        <v>1</v>
      </c>
      <c r="C24" s="16" t="n">
        <f aca="false">'רכיבי בסיס'!$I$18*B24*(A24&gt;=הנחות!$B$9)</f>
        <v>18020</v>
      </c>
      <c r="D24" s="16" t="n">
        <f aca="false">אופציונליים!$G$21*B24*(A24&gt;=הנחות!$B$9)</f>
        <v>0</v>
      </c>
      <c r="E24" s="16" t="n">
        <f aca="false">הנחות!$B$26*B24*(A24&gt;=הנחות!$B$9)</f>
        <v>3850</v>
      </c>
      <c r="F24" s="16" t="n">
        <f aca="false">IF(A24=הנחות!$B$9,הנחות!$B$6,0)</f>
        <v>0</v>
      </c>
      <c r="G24" s="16" t="n">
        <f aca="false">('רכיבי בסיס'!$J$20*(1+הנחות!$B$13)^((A24-1)/12)+'רכיבי בסיס'!$J$19*(1+הנחות!$B$14)^((A24-1)/12)+אופציונליים!$H$22+הנחות!$B$27)*B24*(A24&gt;=הנחות!$B$9)</f>
        <v>16025.3624010297</v>
      </c>
      <c r="H24" s="16" t="n">
        <f aca="false">IF(A24=0,הנחות!$B$8,0)+IF(A24=1,הנחות!$B$7,0)</f>
        <v>0</v>
      </c>
      <c r="I24" s="16" t="n">
        <f aca="false">C24+D24+E24+F24-G24-H24</f>
        <v>5844.63759897027</v>
      </c>
      <c r="J24" s="16" t="n">
        <f aca="false">C24+D24+E24+F24</f>
        <v>21870</v>
      </c>
      <c r="K24" s="16" t="n">
        <f aca="false">IF(A24-הנחות!$B$12&gt;=0,INDEX($J$9:$J$69,A24-הנחות!$B$12+1),0)</f>
        <v>21870</v>
      </c>
      <c r="L24" s="16" t="n">
        <f aca="false">K24-G24-H24</f>
        <v>5844.63759897027</v>
      </c>
      <c r="M24" s="16" t="n">
        <f aca="false">M23+L24</f>
        <v>19200.0521387294</v>
      </c>
    </row>
    <row r="25" customFormat="false" ht="15" hidden="false" customHeight="false" outlineLevel="0" collapsed="false">
      <c r="A25" s="15" t="n">
        <v>16</v>
      </c>
      <c r="B25" s="15" t="n">
        <f aca="false">IF(AND(A25&gt;=1,A25&lt;=הנחות!$B$25),1,0)</f>
        <v>1</v>
      </c>
      <c r="C25" s="16" t="n">
        <f aca="false">'רכיבי בסיס'!$I$18*B25*(A25&gt;=הנחות!$B$9)</f>
        <v>18020</v>
      </c>
      <c r="D25" s="16" t="n">
        <f aca="false">אופציונליים!$G$21*B25*(A25&gt;=הנחות!$B$9)</f>
        <v>0</v>
      </c>
      <c r="E25" s="16" t="n">
        <f aca="false">הנחות!$B$26*B25*(A25&gt;=הנחות!$B$9)</f>
        <v>3850</v>
      </c>
      <c r="F25" s="16" t="n">
        <f aca="false">IF(A25=הנחות!$B$9,הנחות!$B$6,0)</f>
        <v>0</v>
      </c>
      <c r="G25" s="16" t="n">
        <f aca="false">('רכיבי בסיס'!$J$20*(1+הנחות!$B$13)^((A25-1)/12)+'רכיבי בסיס'!$J$19*(1+הנחות!$B$14)^((A25-1)/12)+אופציונליים!$H$22+הנחות!$B$27)*B25*(A25&gt;=הנחות!$B$9)</f>
        <v>16048.8928648846</v>
      </c>
      <c r="H25" s="16" t="n">
        <f aca="false">IF(A25=0,הנחות!$B$8,0)+IF(A25=1,הנחות!$B$7,0)</f>
        <v>0</v>
      </c>
      <c r="I25" s="16" t="n">
        <f aca="false">C25+D25+E25+F25-G25-H25</f>
        <v>5821.10713511541</v>
      </c>
      <c r="J25" s="16" t="n">
        <f aca="false">C25+D25+E25+F25</f>
        <v>21870</v>
      </c>
      <c r="K25" s="16" t="n">
        <f aca="false">IF(A25-הנחות!$B$12&gt;=0,INDEX($J$9:$J$69,A25-הנחות!$B$12+1),0)</f>
        <v>21870</v>
      </c>
      <c r="L25" s="16" t="n">
        <f aca="false">K25-G25-H25</f>
        <v>5821.10713511541</v>
      </c>
      <c r="M25" s="16" t="n">
        <f aca="false">M24+L25</f>
        <v>25021.1592738448</v>
      </c>
    </row>
    <row r="26" customFormat="false" ht="15" hidden="false" customHeight="false" outlineLevel="0" collapsed="false">
      <c r="A26" s="15" t="n">
        <v>17</v>
      </c>
      <c r="B26" s="15" t="n">
        <f aca="false">IF(AND(A26&gt;=1,A26&lt;=הנחות!$B$25),1,0)</f>
        <v>1</v>
      </c>
      <c r="C26" s="16" t="n">
        <f aca="false">'רכיבי בסיס'!$I$18*B26*(A26&gt;=הנחות!$B$9)</f>
        <v>18020</v>
      </c>
      <c r="D26" s="16" t="n">
        <f aca="false">אופציונליים!$G$21*B26*(A26&gt;=הנחות!$B$9)</f>
        <v>0</v>
      </c>
      <c r="E26" s="16" t="n">
        <f aca="false">הנחות!$B$26*B26*(A26&gt;=הנחות!$B$9)</f>
        <v>3850</v>
      </c>
      <c r="F26" s="16" t="n">
        <f aca="false">IF(A26=הנחות!$B$9,הנחות!$B$6,0)</f>
        <v>0</v>
      </c>
      <c r="G26" s="16" t="n">
        <f aca="false">('רכיבי בסיס'!$J$20*(1+הנחות!$B$13)^((A26-1)/12)+'רכיבי בסיס'!$J$19*(1+הנחות!$B$14)^((A26-1)/12)+אופציונליים!$H$22+הנחות!$B$27)*B26*(A26&gt;=הנחות!$B$9)</f>
        <v>16072.4813612112</v>
      </c>
      <c r="H26" s="16" t="n">
        <f aca="false">IF(A26=0,הנחות!$B$8,0)+IF(A26=1,הנחות!$B$7,0)</f>
        <v>0</v>
      </c>
      <c r="I26" s="16" t="n">
        <f aca="false">C26+D26+E26+F26-G26-H26</f>
        <v>5797.51863878882</v>
      </c>
      <c r="J26" s="16" t="n">
        <f aca="false">C26+D26+E26+F26</f>
        <v>21870</v>
      </c>
      <c r="K26" s="16" t="n">
        <f aca="false">IF(A26-הנחות!$B$12&gt;=0,INDEX($J$9:$J$69,A26-הנחות!$B$12+1),0)</f>
        <v>21870</v>
      </c>
      <c r="L26" s="16" t="n">
        <f aca="false">K26-G26-H26</f>
        <v>5797.51863878882</v>
      </c>
      <c r="M26" s="16" t="n">
        <f aca="false">M25+L26</f>
        <v>30818.6779126336</v>
      </c>
    </row>
    <row r="27" customFormat="false" ht="15" hidden="false" customHeight="false" outlineLevel="0" collapsed="false">
      <c r="A27" s="15" t="n">
        <v>18</v>
      </c>
      <c r="B27" s="15" t="n">
        <f aca="false">IF(AND(A27&gt;=1,A27&lt;=הנחות!$B$25),1,0)</f>
        <v>1</v>
      </c>
      <c r="C27" s="16" t="n">
        <f aca="false">'רכיבי בסיס'!$I$18*B27*(A27&gt;=הנחות!$B$9)</f>
        <v>18020</v>
      </c>
      <c r="D27" s="16" t="n">
        <f aca="false">אופציונליים!$G$21*B27*(A27&gt;=הנחות!$B$9)</f>
        <v>0</v>
      </c>
      <c r="E27" s="16" t="n">
        <f aca="false">הנחות!$B$26*B27*(A27&gt;=הנחות!$B$9)</f>
        <v>3850</v>
      </c>
      <c r="F27" s="16" t="n">
        <f aca="false">IF(A27=הנחות!$B$9,הנחות!$B$6,0)</f>
        <v>0</v>
      </c>
      <c r="G27" s="16" t="n">
        <f aca="false">('רכיבי בסיס'!$J$20*(1+הנחות!$B$13)^((A27-1)/12)+'רכיבי בסיס'!$J$19*(1+הנחות!$B$14)^((A27-1)/12)+אופציונליים!$H$22+הנחות!$B$27)*B27*(A27&gt;=הנחות!$B$9)</f>
        <v>16096.1280331332</v>
      </c>
      <c r="H27" s="16" t="n">
        <f aca="false">IF(A27=0,הנחות!$B$8,0)+IF(A27=1,הנחות!$B$7,0)</f>
        <v>0</v>
      </c>
      <c r="I27" s="16" t="n">
        <f aca="false">C27+D27+E27+F27-G27-H27</f>
        <v>5773.87196686677</v>
      </c>
      <c r="J27" s="16" t="n">
        <f aca="false">C27+D27+E27+F27</f>
        <v>21870</v>
      </c>
      <c r="K27" s="16" t="n">
        <f aca="false">IF(A27-הנחות!$B$12&gt;=0,INDEX($J$9:$J$69,A27-הנחות!$B$12+1),0)</f>
        <v>21870</v>
      </c>
      <c r="L27" s="16" t="n">
        <f aca="false">K27-G27-H27</f>
        <v>5773.87196686677</v>
      </c>
      <c r="M27" s="16" t="n">
        <f aca="false">M26+L27</f>
        <v>36592.5498795004</v>
      </c>
    </row>
    <row r="28" customFormat="false" ht="15" hidden="false" customHeight="false" outlineLevel="0" collapsed="false">
      <c r="A28" s="15" t="n">
        <v>19</v>
      </c>
      <c r="B28" s="15" t="n">
        <f aca="false">IF(AND(A28&gt;=1,A28&lt;=הנחות!$B$25),1,0)</f>
        <v>1</v>
      </c>
      <c r="C28" s="16" t="n">
        <f aca="false">'רכיבי בסיס'!$I$18*B28*(A28&gt;=הנחות!$B$9)</f>
        <v>18020</v>
      </c>
      <c r="D28" s="16" t="n">
        <f aca="false">אופציונליים!$G$21*B28*(A28&gt;=הנחות!$B$9)</f>
        <v>0</v>
      </c>
      <c r="E28" s="16" t="n">
        <f aca="false">הנחות!$B$26*B28*(A28&gt;=הנחות!$B$9)</f>
        <v>3850</v>
      </c>
      <c r="F28" s="16" t="n">
        <f aca="false">IF(A28=הנחות!$B$9,הנחות!$B$6,0)</f>
        <v>0</v>
      </c>
      <c r="G28" s="16" t="n">
        <f aca="false">('רכיבי בסיס'!$J$20*(1+הנחות!$B$13)^((A28-1)/12)+'רכיבי בסיס'!$J$19*(1+הנחות!$B$14)^((A28-1)/12)+אופציונליים!$H$22+הנחות!$B$27)*B28*(A28&gt;=הנחות!$B$9)</f>
        <v>16119.8330241275</v>
      </c>
      <c r="H28" s="16" t="n">
        <f aca="false">IF(A28=0,הנחות!$B$8,0)+IF(A28=1,הנחות!$B$7,0)</f>
        <v>0</v>
      </c>
      <c r="I28" s="16" t="n">
        <f aca="false">C28+D28+E28+F28-G28-H28</f>
        <v>5750.16697587253</v>
      </c>
      <c r="J28" s="16" t="n">
        <f aca="false">C28+D28+E28+F28</f>
        <v>21870</v>
      </c>
      <c r="K28" s="16" t="n">
        <f aca="false">IF(A28-הנחות!$B$12&gt;=0,INDEX($J$9:$J$69,A28-הנחות!$B$12+1),0)</f>
        <v>21870</v>
      </c>
      <c r="L28" s="16" t="n">
        <f aca="false">K28-G28-H28</f>
        <v>5750.16697587253</v>
      </c>
      <c r="M28" s="16" t="n">
        <f aca="false">M27+L28</f>
        <v>42342.7168553729</v>
      </c>
    </row>
    <row r="29" customFormat="false" ht="15" hidden="false" customHeight="false" outlineLevel="0" collapsed="false">
      <c r="A29" s="15" t="n">
        <v>20</v>
      </c>
      <c r="B29" s="15" t="n">
        <f aca="false">IF(AND(A29&gt;=1,A29&lt;=הנחות!$B$25),1,0)</f>
        <v>1</v>
      </c>
      <c r="C29" s="16" t="n">
        <f aca="false">'רכיבי בסיס'!$I$18*B29*(A29&gt;=הנחות!$B$9)</f>
        <v>18020</v>
      </c>
      <c r="D29" s="16" t="n">
        <f aca="false">אופציונליים!$G$21*B29*(A29&gt;=הנחות!$B$9)</f>
        <v>0</v>
      </c>
      <c r="E29" s="16" t="n">
        <f aca="false">הנחות!$B$26*B29*(A29&gt;=הנחות!$B$9)</f>
        <v>3850</v>
      </c>
      <c r="F29" s="16" t="n">
        <f aca="false">IF(A29=הנחות!$B$9,הנחות!$B$6,0)</f>
        <v>0</v>
      </c>
      <c r="G29" s="16" t="n">
        <f aca="false">('רכיבי בסיס'!$J$20*(1+הנחות!$B$13)^((A29-1)/12)+'רכיבי בסיס'!$J$19*(1+הנחות!$B$14)^((A29-1)/12)+אופציונליים!$H$22+הנחות!$B$27)*B29*(A29&gt;=הנחות!$B$9)</f>
        <v>16143.5964780244</v>
      </c>
      <c r="H29" s="16" t="n">
        <f aca="false">IF(A29=0,הנחות!$B$8,0)+IF(A29=1,הנחות!$B$7,0)</f>
        <v>0</v>
      </c>
      <c r="I29" s="16" t="n">
        <f aca="false">C29+D29+E29+F29-G29-H29</f>
        <v>5726.40352197556</v>
      </c>
      <c r="J29" s="16" t="n">
        <f aca="false">C29+D29+E29+F29</f>
        <v>21870</v>
      </c>
      <c r="K29" s="16" t="n">
        <f aca="false">IF(A29-הנחות!$B$12&gt;=0,INDEX($J$9:$J$69,A29-הנחות!$B$12+1),0)</f>
        <v>21870</v>
      </c>
      <c r="L29" s="16" t="n">
        <f aca="false">K29-G29-H29</f>
        <v>5726.40352197556</v>
      </c>
      <c r="M29" s="16" t="n">
        <f aca="false">M28+L29</f>
        <v>48069.1203773485</v>
      </c>
    </row>
    <row r="30" customFormat="false" ht="15" hidden="false" customHeight="false" outlineLevel="0" collapsed="false">
      <c r="A30" s="15" t="n">
        <v>21</v>
      </c>
      <c r="B30" s="15" t="n">
        <f aca="false">IF(AND(A30&gt;=1,A30&lt;=הנחות!$B$25),1,0)</f>
        <v>1</v>
      </c>
      <c r="C30" s="16" t="n">
        <f aca="false">'רכיבי בסיס'!$I$18*B30*(A30&gt;=הנחות!$B$9)</f>
        <v>18020</v>
      </c>
      <c r="D30" s="16" t="n">
        <f aca="false">אופציונליים!$G$21*B30*(A30&gt;=הנחות!$B$9)</f>
        <v>0</v>
      </c>
      <c r="E30" s="16" t="n">
        <f aca="false">הנחות!$B$26*B30*(A30&gt;=הנחות!$B$9)</f>
        <v>3850</v>
      </c>
      <c r="F30" s="16" t="n">
        <f aca="false">IF(A30=הנחות!$B$9,הנחות!$B$6,0)</f>
        <v>0</v>
      </c>
      <c r="G30" s="16" t="n">
        <f aca="false">('רכיבי בסיס'!$J$20*(1+הנחות!$B$13)^((A30-1)/12)+'רכיבי בסיס'!$J$19*(1+הנחות!$B$14)^((A30-1)/12)+אופציונליים!$H$22+הנחות!$B$27)*B30*(A30&gt;=הנחות!$B$9)</f>
        <v>16167.4185390094</v>
      </c>
      <c r="H30" s="16" t="n">
        <f aca="false">IF(A30=0,הנחות!$B$8,0)+IF(A30=1,הנחות!$B$7,0)</f>
        <v>0</v>
      </c>
      <c r="I30" s="16" t="n">
        <f aca="false">C30+D30+E30+F30-G30-H30</f>
        <v>5702.58146099056</v>
      </c>
      <c r="J30" s="16" t="n">
        <f aca="false">C30+D30+E30+F30</f>
        <v>21870</v>
      </c>
      <c r="K30" s="16" t="n">
        <f aca="false">IF(A30-הנחות!$B$12&gt;=0,INDEX($J$9:$J$69,A30-הנחות!$B$12+1),0)</f>
        <v>21870</v>
      </c>
      <c r="L30" s="16" t="n">
        <f aca="false">K30-G30-H30</f>
        <v>5702.58146099056</v>
      </c>
      <c r="M30" s="16" t="n">
        <f aca="false">M29+L30</f>
        <v>53771.7018383391</v>
      </c>
    </row>
    <row r="31" customFormat="false" ht="15" hidden="false" customHeight="false" outlineLevel="0" collapsed="false">
      <c r="A31" s="15" t="n">
        <v>22</v>
      </c>
      <c r="B31" s="15" t="n">
        <f aca="false">IF(AND(A31&gt;=1,A31&lt;=הנחות!$B$25),1,0)</f>
        <v>1</v>
      </c>
      <c r="C31" s="16" t="n">
        <f aca="false">'רכיבי בסיס'!$I$18*B31*(A31&gt;=הנחות!$B$9)</f>
        <v>18020</v>
      </c>
      <c r="D31" s="16" t="n">
        <f aca="false">אופציונליים!$G$21*B31*(A31&gt;=הנחות!$B$9)</f>
        <v>0</v>
      </c>
      <c r="E31" s="16" t="n">
        <f aca="false">הנחות!$B$26*B31*(A31&gt;=הנחות!$B$9)</f>
        <v>3850</v>
      </c>
      <c r="F31" s="16" t="n">
        <f aca="false">IF(A31=הנחות!$B$9,הנחות!$B$6,0)</f>
        <v>0</v>
      </c>
      <c r="G31" s="16" t="n">
        <f aca="false">('רכיבי בסיס'!$J$20*(1+הנחות!$B$13)^((A31-1)/12)+'רכיבי בסיס'!$J$19*(1+הנחות!$B$14)^((A31-1)/12)+אופציונליים!$H$22+הנחות!$B$27)*B31*(A31&gt;=הנחות!$B$9)</f>
        <v>16191.2993516234</v>
      </c>
      <c r="H31" s="16" t="n">
        <f aca="false">IF(A31=0,הנחות!$B$8,0)+IF(A31=1,הנחות!$B$7,0)</f>
        <v>0</v>
      </c>
      <c r="I31" s="16" t="n">
        <f aca="false">C31+D31+E31+F31-G31-H31</f>
        <v>5678.70064837663</v>
      </c>
      <c r="J31" s="16" t="n">
        <f aca="false">C31+D31+E31+F31</f>
        <v>21870</v>
      </c>
      <c r="K31" s="16" t="n">
        <f aca="false">IF(A31-הנחות!$B$12&gt;=0,INDEX($J$9:$J$69,A31-הנחות!$B$12+1),0)</f>
        <v>21870</v>
      </c>
      <c r="L31" s="16" t="n">
        <f aca="false">K31-G31-H31</f>
        <v>5678.70064837663</v>
      </c>
      <c r="M31" s="16" t="n">
        <f aca="false">M30+L31</f>
        <v>59450.4024867157</v>
      </c>
    </row>
    <row r="32" customFormat="false" ht="15" hidden="false" customHeight="false" outlineLevel="0" collapsed="false">
      <c r="A32" s="15" t="n">
        <v>23</v>
      </c>
      <c r="B32" s="15" t="n">
        <f aca="false">IF(AND(A32&gt;=1,A32&lt;=הנחות!$B$25),1,0)</f>
        <v>1</v>
      </c>
      <c r="C32" s="16" t="n">
        <f aca="false">'רכיבי בסיס'!$I$18*B32*(A32&gt;=הנחות!$B$9)</f>
        <v>18020</v>
      </c>
      <c r="D32" s="16" t="n">
        <f aca="false">אופציונליים!$G$21*B32*(A32&gt;=הנחות!$B$9)</f>
        <v>0</v>
      </c>
      <c r="E32" s="16" t="n">
        <f aca="false">הנחות!$B$26*B32*(A32&gt;=הנחות!$B$9)</f>
        <v>3850</v>
      </c>
      <c r="F32" s="16" t="n">
        <f aca="false">IF(A32=הנחות!$B$9,הנחות!$B$6,0)</f>
        <v>0</v>
      </c>
      <c r="G32" s="16" t="n">
        <f aca="false">('רכיבי בסיס'!$J$20*(1+הנחות!$B$13)^((A32-1)/12)+'רכיבי בסיס'!$J$19*(1+הנחות!$B$14)^((A32-1)/12)+אופציונליים!$H$22+הנחות!$B$27)*B32*(A32&gt;=הנחות!$B$9)</f>
        <v>16215.2390607636</v>
      </c>
      <c r="H32" s="16" t="n">
        <f aca="false">IF(A32=0,הנחות!$B$8,0)+IF(A32=1,הנחות!$B$7,0)</f>
        <v>0</v>
      </c>
      <c r="I32" s="16" t="n">
        <f aca="false">C32+D32+E32+F32-G32-H32</f>
        <v>5654.76093923642</v>
      </c>
      <c r="J32" s="16" t="n">
        <f aca="false">C32+D32+E32+F32</f>
        <v>21870</v>
      </c>
      <c r="K32" s="16" t="n">
        <f aca="false">IF(A32-הנחות!$B$12&gt;=0,INDEX($J$9:$J$69,A32-הנחות!$B$12+1),0)</f>
        <v>21870</v>
      </c>
      <c r="L32" s="16" t="n">
        <f aca="false">K32-G32-H32</f>
        <v>5654.76093923642</v>
      </c>
      <c r="M32" s="16" t="n">
        <f aca="false">M31+L32</f>
        <v>65105.1634259521</v>
      </c>
    </row>
    <row r="33" customFormat="false" ht="15" hidden="false" customHeight="false" outlineLevel="0" collapsed="false">
      <c r="A33" s="15" t="n">
        <v>24</v>
      </c>
      <c r="B33" s="15" t="n">
        <f aca="false">IF(AND(A33&gt;=1,A33&lt;=הנחות!$B$25),1,0)</f>
        <v>1</v>
      </c>
      <c r="C33" s="16" t="n">
        <f aca="false">'רכיבי בסיס'!$I$18*B33*(A33&gt;=הנחות!$B$9)</f>
        <v>18020</v>
      </c>
      <c r="D33" s="16" t="n">
        <f aca="false">אופציונליים!$G$21*B33*(A33&gt;=הנחות!$B$9)</f>
        <v>0</v>
      </c>
      <c r="E33" s="16" t="n">
        <f aca="false">הנחות!$B$26*B33*(A33&gt;=הנחות!$B$9)</f>
        <v>3850</v>
      </c>
      <c r="F33" s="16" t="n">
        <f aca="false">IF(A33=הנחות!$B$9,הנחות!$B$6,0)</f>
        <v>0</v>
      </c>
      <c r="G33" s="16" t="n">
        <f aca="false">('רכיבי בסיס'!$J$20*(1+הנחות!$B$13)^((A33-1)/12)+'רכיבי בסיס'!$J$19*(1+הנחות!$B$14)^((A33-1)/12)+אופציונליים!$H$22+הנחות!$B$27)*B33*(A33&gt;=הנחות!$B$9)</f>
        <v>16239.2378116848</v>
      </c>
      <c r="H33" s="16" t="n">
        <f aca="false">IF(A33=0,הנחות!$B$8,0)+IF(A33=1,הנחות!$B$7,0)</f>
        <v>0</v>
      </c>
      <c r="I33" s="16" t="n">
        <f aca="false">C33+D33+E33+F33-G33-H33</f>
        <v>5630.7621883152</v>
      </c>
      <c r="J33" s="16" t="n">
        <f aca="false">C33+D33+E33+F33</f>
        <v>21870</v>
      </c>
      <c r="K33" s="16" t="n">
        <f aca="false">IF(A33-הנחות!$B$12&gt;=0,INDEX($J$9:$J$69,A33-הנחות!$B$12+1),0)</f>
        <v>21870</v>
      </c>
      <c r="L33" s="16" t="n">
        <f aca="false">K33-G33-H33</f>
        <v>5630.7621883152</v>
      </c>
      <c r="M33" s="16" t="n">
        <f aca="false">M32+L33</f>
        <v>70735.9256142673</v>
      </c>
    </row>
    <row r="34" customFormat="false" ht="15" hidden="false" customHeight="false" outlineLevel="0" collapsed="false">
      <c r="A34" s="15" t="n">
        <v>25</v>
      </c>
      <c r="B34" s="15" t="n">
        <f aca="false">IF(AND(A34&gt;=1,A34&lt;=הנחות!$B$25),1,0)</f>
        <v>1</v>
      </c>
      <c r="C34" s="16" t="n">
        <f aca="false">'רכיבי בסיס'!$I$18*B34*(A34&gt;=הנחות!$B$9)</f>
        <v>18020</v>
      </c>
      <c r="D34" s="16" t="n">
        <f aca="false">אופציונליים!$G$21*B34*(A34&gt;=הנחות!$B$9)</f>
        <v>0</v>
      </c>
      <c r="E34" s="16" t="n">
        <f aca="false">הנחות!$B$26*B34*(A34&gt;=הנחות!$B$9)</f>
        <v>3850</v>
      </c>
      <c r="F34" s="16" t="n">
        <f aca="false">IF(A34=הנחות!$B$9,הנחות!$B$6,0)</f>
        <v>0</v>
      </c>
      <c r="G34" s="16" t="n">
        <f aca="false">('רכיבי בסיס'!$J$20*(1+הנחות!$B$13)^((A34-1)/12)+'רכיבי בסיס'!$J$19*(1+הנחות!$B$14)^((A34-1)/12)+אופציונליים!$H$22+הנחות!$B$27)*B34*(A34&gt;=הנחות!$B$9)</f>
        <v>16263.29575</v>
      </c>
      <c r="H34" s="16" t="n">
        <f aca="false">IF(A34=0,הנחות!$B$8,0)+IF(A34=1,הנחות!$B$7,0)</f>
        <v>0</v>
      </c>
      <c r="I34" s="16" t="n">
        <f aca="false">C34+D34+E34+F34-G34-H34</f>
        <v>5606.70425</v>
      </c>
      <c r="J34" s="16" t="n">
        <f aca="false">C34+D34+E34+F34</f>
        <v>21870</v>
      </c>
      <c r="K34" s="16" t="n">
        <f aca="false">IF(A34-הנחות!$B$12&gt;=0,INDEX($J$9:$J$69,A34-הנחות!$B$12+1),0)</f>
        <v>21870</v>
      </c>
      <c r="L34" s="16" t="n">
        <f aca="false">K34-G34-H34</f>
        <v>5606.70425</v>
      </c>
      <c r="M34" s="16" t="n">
        <f aca="false">M33+L34</f>
        <v>76342.6298642673</v>
      </c>
    </row>
    <row r="35" customFormat="false" ht="15" hidden="false" customHeight="false" outlineLevel="0" collapsed="false">
      <c r="A35" s="15" t="n">
        <v>26</v>
      </c>
      <c r="B35" s="15" t="n">
        <f aca="false">IF(AND(A35&gt;=1,A35&lt;=הנחות!$B$25),1,0)</f>
        <v>1</v>
      </c>
      <c r="C35" s="16" t="n">
        <f aca="false">'רכיבי בסיס'!$I$18*B35*(A35&gt;=הנחות!$B$9)</f>
        <v>18020</v>
      </c>
      <c r="D35" s="16" t="n">
        <f aca="false">אופציונליים!$G$21*B35*(A35&gt;=הנחות!$B$9)</f>
        <v>0</v>
      </c>
      <c r="E35" s="16" t="n">
        <f aca="false">הנחות!$B$26*B35*(A35&gt;=הנחות!$B$9)</f>
        <v>3850</v>
      </c>
      <c r="F35" s="16" t="n">
        <f aca="false">IF(A35=הנחות!$B$9,הנחות!$B$6,0)</f>
        <v>0</v>
      </c>
      <c r="G35" s="16" t="n">
        <f aca="false">('רכיבי בסיס'!$J$20*(1+הנחות!$B$13)^((A35-1)/12)+'רכיבי בסיס'!$J$19*(1+הנחות!$B$14)^((A35-1)/12)+אופציונליים!$H$22+הנחות!$B$27)*B35*(A35&gt;=הנחות!$B$9)</f>
        <v>16287.4130216812</v>
      </c>
      <c r="H35" s="16" t="n">
        <f aca="false">IF(A35=0,הנחות!$B$8,0)+IF(A35=1,הנחות!$B$7,0)</f>
        <v>0</v>
      </c>
      <c r="I35" s="16" t="n">
        <f aca="false">C35+D35+E35+F35-G35-H35</f>
        <v>5582.58697831876</v>
      </c>
      <c r="J35" s="16" t="n">
        <f aca="false">C35+D35+E35+F35</f>
        <v>21870</v>
      </c>
      <c r="K35" s="16" t="n">
        <f aca="false">IF(A35-הנחות!$B$12&gt;=0,INDEX($J$9:$J$69,A35-הנחות!$B$12+1),0)</f>
        <v>21870</v>
      </c>
      <c r="L35" s="16" t="n">
        <f aca="false">K35-G35-H35</f>
        <v>5582.58697831876</v>
      </c>
      <c r="M35" s="16" t="n">
        <f aca="false">M34+L35</f>
        <v>81925.216842586</v>
      </c>
    </row>
    <row r="36" customFormat="false" ht="15" hidden="false" customHeight="false" outlineLevel="0" collapsed="false">
      <c r="A36" s="15" t="n">
        <v>27</v>
      </c>
      <c r="B36" s="15" t="n">
        <f aca="false">IF(AND(A36&gt;=1,A36&lt;=הנחות!$B$25),1,0)</f>
        <v>1</v>
      </c>
      <c r="C36" s="16" t="n">
        <f aca="false">'רכיבי בסיס'!$I$18*B36*(A36&gt;=הנחות!$B$9)</f>
        <v>18020</v>
      </c>
      <c r="D36" s="16" t="n">
        <f aca="false">אופציונליים!$G$21*B36*(A36&gt;=הנחות!$B$9)</f>
        <v>0</v>
      </c>
      <c r="E36" s="16" t="n">
        <f aca="false">הנחות!$B$26*B36*(A36&gt;=הנחות!$B$9)</f>
        <v>3850</v>
      </c>
      <c r="F36" s="16" t="n">
        <f aca="false">IF(A36=הנחות!$B$9,הנחות!$B$6,0)</f>
        <v>0</v>
      </c>
      <c r="G36" s="16" t="n">
        <f aca="false">('רכיבי בסיס'!$J$20*(1+הנחות!$B$13)^((A36-1)/12)+'רכיבי בסיס'!$J$19*(1+הנחות!$B$14)^((A36-1)/12)+אופציונליים!$H$22+הנחות!$B$27)*B36*(A36&gt;=הנחות!$B$9)</f>
        <v>16311.5897730606</v>
      </c>
      <c r="H36" s="16" t="n">
        <f aca="false">IF(A36=0,הנחות!$B$8,0)+IF(A36=1,הנחות!$B$7,0)</f>
        <v>0</v>
      </c>
      <c r="I36" s="16" t="n">
        <f aca="false">C36+D36+E36+F36-G36-H36</f>
        <v>5558.41022693937</v>
      </c>
      <c r="J36" s="16" t="n">
        <f aca="false">C36+D36+E36+F36</f>
        <v>21870</v>
      </c>
      <c r="K36" s="16" t="n">
        <f aca="false">IF(A36-הנחות!$B$12&gt;=0,INDEX($J$9:$J$69,A36-הנחות!$B$12+1),0)</f>
        <v>21870</v>
      </c>
      <c r="L36" s="16" t="n">
        <f aca="false">K36-G36-H36</f>
        <v>5558.41022693937</v>
      </c>
      <c r="M36" s="16" t="n">
        <f aca="false">M35+L36</f>
        <v>87483.6270695254</v>
      </c>
    </row>
    <row r="37" customFormat="false" ht="15" hidden="false" customHeight="false" outlineLevel="0" collapsed="false">
      <c r="A37" s="15" t="n">
        <v>28</v>
      </c>
      <c r="B37" s="15" t="n">
        <f aca="false">IF(AND(A37&gt;=1,A37&lt;=הנחות!$B$25),1,0)</f>
        <v>1</v>
      </c>
      <c r="C37" s="16" t="n">
        <f aca="false">'רכיבי בסיס'!$I$18*B37*(A37&gt;=הנחות!$B$9)</f>
        <v>18020</v>
      </c>
      <c r="D37" s="16" t="n">
        <f aca="false">אופציונליים!$G$21*B37*(A37&gt;=הנחות!$B$9)</f>
        <v>0</v>
      </c>
      <c r="E37" s="16" t="n">
        <f aca="false">הנחות!$B$26*B37*(A37&gt;=הנחות!$B$9)</f>
        <v>3850</v>
      </c>
      <c r="F37" s="16" t="n">
        <f aca="false">IF(A37=הנחות!$B$9,הנחות!$B$6,0)</f>
        <v>0</v>
      </c>
      <c r="G37" s="16" t="n">
        <f aca="false">('רכיבי בסיס'!$J$20*(1+הנחות!$B$13)^((A37-1)/12)+'רכיבי בסיס'!$J$19*(1+הנחות!$B$14)^((A37-1)/12)+אופציונליים!$H$22+הנחות!$B$27)*B37*(A37&gt;=הנחות!$B$9)</f>
        <v>16335.8261508311</v>
      </c>
      <c r="H37" s="16" t="n">
        <f aca="false">IF(A37=0,הנחות!$B$8,0)+IF(A37=1,הנחות!$B$7,0)</f>
        <v>0</v>
      </c>
      <c r="I37" s="16" t="n">
        <f aca="false">C37+D37+E37+F37-G37-H37</f>
        <v>5534.17384916887</v>
      </c>
      <c r="J37" s="16" t="n">
        <f aca="false">C37+D37+E37+F37</f>
        <v>21870</v>
      </c>
      <c r="K37" s="16" t="n">
        <f aca="false">IF(A37-הנחות!$B$12&gt;=0,INDEX($J$9:$J$69,A37-הנחות!$B$12+1),0)</f>
        <v>21870</v>
      </c>
      <c r="L37" s="16" t="n">
        <f aca="false">K37-G37-H37</f>
        <v>5534.17384916887</v>
      </c>
      <c r="M37" s="16" t="n">
        <f aca="false">M36+L37</f>
        <v>93017.8009186943</v>
      </c>
    </row>
    <row r="38" customFormat="false" ht="15" hidden="false" customHeight="false" outlineLevel="0" collapsed="false">
      <c r="A38" s="15" t="n">
        <v>29</v>
      </c>
      <c r="B38" s="15" t="n">
        <f aca="false">IF(AND(A38&gt;=1,A38&lt;=הנחות!$B$25),1,0)</f>
        <v>1</v>
      </c>
      <c r="C38" s="16" t="n">
        <f aca="false">'רכיבי בסיס'!$I$18*B38*(A38&gt;=הנחות!$B$9)</f>
        <v>18020</v>
      </c>
      <c r="D38" s="16" t="n">
        <f aca="false">אופציונליים!$G$21*B38*(A38&gt;=הנחות!$B$9)</f>
        <v>0</v>
      </c>
      <c r="E38" s="16" t="n">
        <f aca="false">הנחות!$B$26*B38*(A38&gt;=הנחות!$B$9)</f>
        <v>3850</v>
      </c>
      <c r="F38" s="16" t="n">
        <f aca="false">IF(A38=הנחות!$B$9,הנחות!$B$6,0)</f>
        <v>0</v>
      </c>
      <c r="G38" s="16" t="n">
        <f aca="false">('רכיבי בסיס'!$J$20*(1+הנחות!$B$13)^((A38-1)/12)+'רכיבי בסיס'!$J$19*(1+הנחות!$B$14)^((A38-1)/12)+אופציונליים!$H$22+הנחות!$B$27)*B38*(A38&gt;=הנחות!$B$9)</f>
        <v>16360.1223020475</v>
      </c>
      <c r="H38" s="16" t="n">
        <f aca="false">IF(A38=0,הנחות!$B$8,0)+IF(A38=1,הנחות!$B$7,0)</f>
        <v>0</v>
      </c>
      <c r="I38" s="16" t="n">
        <f aca="false">C38+D38+E38+F38-G38-H38</f>
        <v>5509.87769795248</v>
      </c>
      <c r="J38" s="16" t="n">
        <f aca="false">C38+D38+E38+F38</f>
        <v>21870</v>
      </c>
      <c r="K38" s="16" t="n">
        <f aca="false">IF(A38-הנחות!$B$12&gt;=0,INDEX($J$9:$J$69,A38-הנחות!$B$12+1),0)</f>
        <v>21870</v>
      </c>
      <c r="L38" s="16" t="n">
        <f aca="false">K38-G38-H38</f>
        <v>5509.87769795248</v>
      </c>
      <c r="M38" s="16" t="n">
        <f aca="false">M37+L38</f>
        <v>98527.6786166468</v>
      </c>
    </row>
    <row r="39" customFormat="false" ht="15" hidden="false" customHeight="false" outlineLevel="0" collapsed="false">
      <c r="A39" s="15" t="n">
        <v>30</v>
      </c>
      <c r="B39" s="15" t="n">
        <f aca="false">IF(AND(A39&gt;=1,A39&lt;=הנחות!$B$25),1,0)</f>
        <v>1</v>
      </c>
      <c r="C39" s="16" t="n">
        <f aca="false">'רכיבי בסיס'!$I$18*B39*(A39&gt;=הנחות!$B$9)</f>
        <v>18020</v>
      </c>
      <c r="D39" s="16" t="n">
        <f aca="false">אופציונליים!$G$21*B39*(A39&gt;=הנחות!$B$9)</f>
        <v>0</v>
      </c>
      <c r="E39" s="16" t="n">
        <f aca="false">הנחות!$B$26*B39*(A39&gt;=הנחות!$B$9)</f>
        <v>3850</v>
      </c>
      <c r="F39" s="16" t="n">
        <f aca="false">IF(A39=הנחות!$B$9,הנחות!$B$6,0)</f>
        <v>0</v>
      </c>
      <c r="G39" s="16" t="n">
        <f aca="false">('רכיבי בסיס'!$J$20*(1+הנחות!$B$13)^((A39-1)/12)+'רכיבי בסיס'!$J$19*(1+הנחות!$B$14)^((A39-1)/12)+אופציונליים!$H$22+הנחות!$B$27)*B39*(A39&gt;=הנחות!$B$9)</f>
        <v>16384.4783741272</v>
      </c>
      <c r="H39" s="16" t="n">
        <f aca="false">IF(A39=0,הנחות!$B$8,0)+IF(A39=1,הנחות!$B$7,0)</f>
        <v>0</v>
      </c>
      <c r="I39" s="16" t="n">
        <f aca="false">C39+D39+E39+F39-G39-H39</f>
        <v>5485.52162587277</v>
      </c>
      <c r="J39" s="16" t="n">
        <f aca="false">C39+D39+E39+F39</f>
        <v>21870</v>
      </c>
      <c r="K39" s="16" t="n">
        <f aca="false">IF(A39-הנחות!$B$12&gt;=0,INDEX($J$9:$J$69,A39-הנחות!$B$12+1),0)</f>
        <v>21870</v>
      </c>
      <c r="L39" s="16" t="n">
        <f aca="false">K39-G39-H39</f>
        <v>5485.52162587277</v>
      </c>
      <c r="M39" s="16" t="n">
        <f aca="false">M38+L39</f>
        <v>104013.20024252</v>
      </c>
    </row>
    <row r="40" customFormat="false" ht="15" hidden="false" customHeight="false" outlineLevel="0" collapsed="false">
      <c r="A40" s="15" t="n">
        <v>31</v>
      </c>
      <c r="B40" s="15" t="n">
        <f aca="false">IF(AND(A40&gt;=1,A40&lt;=הנחות!$B$25),1,0)</f>
        <v>1</v>
      </c>
      <c r="C40" s="16" t="n">
        <f aca="false">'רכיבי בסיס'!$I$18*B40*(A40&gt;=הנחות!$B$9)</f>
        <v>18020</v>
      </c>
      <c r="D40" s="16" t="n">
        <f aca="false">אופציונליים!$G$21*B40*(A40&gt;=הנחות!$B$9)</f>
        <v>0</v>
      </c>
      <c r="E40" s="16" t="n">
        <f aca="false">הנחות!$B$26*B40*(A40&gt;=הנחות!$B$9)</f>
        <v>3850</v>
      </c>
      <c r="F40" s="16" t="n">
        <f aca="false">IF(A40=הנחות!$B$9,הנחות!$B$6,0)</f>
        <v>0</v>
      </c>
      <c r="G40" s="16" t="n">
        <f aca="false">('רכיבי בסיס'!$J$20*(1+הנחות!$B$13)^((A40-1)/12)+'רכיבי בסיס'!$J$19*(1+הנחות!$B$14)^((A40-1)/12)+אופציונליים!$H$22+הנחות!$B$27)*B40*(A40&gt;=הנחות!$B$9)</f>
        <v>16408.8945148513</v>
      </c>
      <c r="H40" s="16" t="n">
        <f aca="false">IF(A40=0,הנחות!$B$8,0)+IF(A40=1,הנחות!$B$7,0)</f>
        <v>0</v>
      </c>
      <c r="I40" s="16" t="n">
        <f aca="false">C40+D40+E40+F40-G40-H40</f>
        <v>5461.10548514871</v>
      </c>
      <c r="J40" s="16" t="n">
        <f aca="false">C40+D40+E40+F40</f>
        <v>21870</v>
      </c>
      <c r="K40" s="16" t="n">
        <f aca="false">IF(A40-הנחות!$B$12&gt;=0,INDEX($J$9:$J$69,A40-הנחות!$B$12+1),0)</f>
        <v>21870</v>
      </c>
      <c r="L40" s="16" t="n">
        <f aca="false">K40-G40-H40</f>
        <v>5461.10548514871</v>
      </c>
      <c r="M40" s="16" t="n">
        <f aca="false">M39+L40</f>
        <v>109474.305727668</v>
      </c>
    </row>
    <row r="41" customFormat="false" ht="15" hidden="false" customHeight="false" outlineLevel="0" collapsed="false">
      <c r="A41" s="15" t="n">
        <v>32</v>
      </c>
      <c r="B41" s="15" t="n">
        <f aca="false">IF(AND(A41&gt;=1,A41&lt;=הנחות!$B$25),1,0)</f>
        <v>1</v>
      </c>
      <c r="C41" s="16" t="n">
        <f aca="false">'רכיבי בסיס'!$I$18*B41*(A41&gt;=הנחות!$B$9)</f>
        <v>18020</v>
      </c>
      <c r="D41" s="16" t="n">
        <f aca="false">אופציונליים!$G$21*B41*(A41&gt;=הנחות!$B$9)</f>
        <v>0</v>
      </c>
      <c r="E41" s="16" t="n">
        <f aca="false">הנחות!$B$26*B41*(A41&gt;=הנחות!$B$9)</f>
        <v>3850</v>
      </c>
      <c r="F41" s="16" t="n">
        <f aca="false">IF(A41=הנחות!$B$9,הנחות!$B$6,0)</f>
        <v>0</v>
      </c>
      <c r="G41" s="16" t="n">
        <f aca="false">('רכיבי בסיס'!$J$20*(1+הנחות!$B$13)^((A41-1)/12)+'רכיבי בסיס'!$J$19*(1+הנחות!$B$14)^((A41-1)/12)+אופציונליים!$H$22+הנחות!$B$27)*B41*(A41&gt;=הנחות!$B$9)</f>
        <v>16433.3708723652</v>
      </c>
      <c r="H41" s="16" t="n">
        <f aca="false">IF(A41=0,הנחות!$B$8,0)+IF(A41=1,הנחות!$B$7,0)</f>
        <v>0</v>
      </c>
      <c r="I41" s="16" t="n">
        <f aca="false">C41+D41+E41+F41-G41-H41</f>
        <v>5436.62912763483</v>
      </c>
      <c r="J41" s="16" t="n">
        <f aca="false">C41+D41+E41+F41</f>
        <v>21870</v>
      </c>
      <c r="K41" s="16" t="n">
        <f aca="false">IF(A41-הנחות!$B$12&gt;=0,INDEX($J$9:$J$69,A41-הנחות!$B$12+1),0)</f>
        <v>21870</v>
      </c>
      <c r="L41" s="16" t="n">
        <f aca="false">K41-G41-H41</f>
        <v>5436.62912763483</v>
      </c>
      <c r="M41" s="16" t="n">
        <f aca="false">M40+L41</f>
        <v>114910.934855303</v>
      </c>
    </row>
    <row r="42" customFormat="false" ht="15" hidden="false" customHeight="false" outlineLevel="0" collapsed="false">
      <c r="A42" s="15" t="n">
        <v>33</v>
      </c>
      <c r="B42" s="15" t="n">
        <f aca="false">IF(AND(A42&gt;=1,A42&lt;=הנחות!$B$25),1,0)</f>
        <v>1</v>
      </c>
      <c r="C42" s="16" t="n">
        <f aca="false">'רכיבי בסיס'!$I$18*B42*(A42&gt;=הנחות!$B$9)</f>
        <v>18020</v>
      </c>
      <c r="D42" s="16" t="n">
        <f aca="false">אופציונליים!$G$21*B42*(A42&gt;=הנחות!$B$9)</f>
        <v>0</v>
      </c>
      <c r="E42" s="16" t="n">
        <f aca="false">הנחות!$B$26*B42*(A42&gt;=הנחות!$B$9)</f>
        <v>3850</v>
      </c>
      <c r="F42" s="16" t="n">
        <f aca="false">IF(A42=הנחות!$B$9,הנחות!$B$6,0)</f>
        <v>0</v>
      </c>
      <c r="G42" s="16" t="n">
        <f aca="false">('רכיבי בסיס'!$J$20*(1+הנחות!$B$13)^((A42-1)/12)+'רכיבי בסיס'!$J$19*(1+הנחות!$B$14)^((A42-1)/12)+אופציונליים!$H$22+הנחות!$B$27)*B42*(A42&gt;=הנחות!$B$9)</f>
        <v>16457.9075951797</v>
      </c>
      <c r="H42" s="16" t="n">
        <f aca="false">IF(A42=0,הנחות!$B$8,0)+IF(A42=1,הנחות!$B$7,0)</f>
        <v>0</v>
      </c>
      <c r="I42" s="16" t="n">
        <f aca="false">C42+D42+E42+F42-G42-H42</f>
        <v>5412.09240482027</v>
      </c>
      <c r="J42" s="16" t="n">
        <f aca="false">C42+D42+E42+F42</f>
        <v>21870</v>
      </c>
      <c r="K42" s="16" t="n">
        <f aca="false">IF(A42-הנחות!$B$12&gt;=0,INDEX($J$9:$J$69,A42-הנחות!$B$12+1),0)</f>
        <v>21870</v>
      </c>
      <c r="L42" s="16" t="n">
        <f aca="false">K42-G42-H42</f>
        <v>5412.09240482027</v>
      </c>
      <c r="M42" s="16" t="n">
        <f aca="false">M41+L42</f>
        <v>120323.027260123</v>
      </c>
    </row>
    <row r="43" customFormat="false" ht="15" hidden="false" customHeight="false" outlineLevel="0" collapsed="false">
      <c r="A43" s="15" t="n">
        <v>34</v>
      </c>
      <c r="B43" s="15" t="n">
        <f aca="false">IF(AND(A43&gt;=1,A43&lt;=הנחות!$B$25),1,0)</f>
        <v>1</v>
      </c>
      <c r="C43" s="16" t="n">
        <f aca="false">'רכיבי בסיס'!$I$18*B43*(A43&gt;=הנחות!$B$9)</f>
        <v>18020</v>
      </c>
      <c r="D43" s="16" t="n">
        <f aca="false">אופציונליים!$G$21*B43*(A43&gt;=הנחות!$B$9)</f>
        <v>0</v>
      </c>
      <c r="E43" s="16" t="n">
        <f aca="false">הנחות!$B$26*B43*(A43&gt;=הנחות!$B$9)</f>
        <v>3850</v>
      </c>
      <c r="F43" s="16" t="n">
        <f aca="false">IF(A43=הנחות!$B$9,הנחות!$B$6,0)</f>
        <v>0</v>
      </c>
      <c r="G43" s="16" t="n">
        <f aca="false">('רכיבי בסיס'!$J$20*(1+הנחות!$B$13)^((A43-1)/12)+'רכיבי בסיס'!$J$19*(1+הנחות!$B$14)^((A43-1)/12)+אופציונליים!$H$22+הנחות!$B$27)*B43*(A43&gt;=הנחות!$B$9)</f>
        <v>16482.5048321721</v>
      </c>
      <c r="H43" s="16" t="n">
        <f aca="false">IF(A43=0,הנחות!$B$8,0)+IF(A43=1,הנחות!$B$7,0)</f>
        <v>0</v>
      </c>
      <c r="I43" s="16" t="n">
        <f aca="false">C43+D43+E43+F43-G43-H43</f>
        <v>5387.49516782793</v>
      </c>
      <c r="J43" s="16" t="n">
        <f aca="false">C43+D43+E43+F43</f>
        <v>21870</v>
      </c>
      <c r="K43" s="16" t="n">
        <f aca="false">IF(A43-הנחות!$B$12&gt;=0,INDEX($J$9:$J$69,A43-הנחות!$B$12+1),0)</f>
        <v>21870</v>
      </c>
      <c r="L43" s="16" t="n">
        <f aca="false">K43-G43-H43</f>
        <v>5387.49516782793</v>
      </c>
      <c r="M43" s="16" t="n">
        <f aca="false">M42+L43</f>
        <v>125710.522427951</v>
      </c>
    </row>
    <row r="44" customFormat="false" ht="15" hidden="false" customHeight="false" outlineLevel="0" collapsed="false">
      <c r="A44" s="15" t="n">
        <v>35</v>
      </c>
      <c r="B44" s="15" t="n">
        <f aca="false">IF(AND(A44&gt;=1,A44&lt;=הנחות!$B$25),1,0)</f>
        <v>1</v>
      </c>
      <c r="C44" s="16" t="n">
        <f aca="false">'רכיבי בסיס'!$I$18*B44*(A44&gt;=הנחות!$B$9)</f>
        <v>18020</v>
      </c>
      <c r="D44" s="16" t="n">
        <f aca="false">אופציונליים!$G$21*B44*(A44&gt;=הנחות!$B$9)</f>
        <v>0</v>
      </c>
      <c r="E44" s="16" t="n">
        <f aca="false">הנחות!$B$26*B44*(A44&gt;=הנחות!$B$9)</f>
        <v>3850</v>
      </c>
      <c r="F44" s="16" t="n">
        <f aca="false">IF(A44=הנחות!$B$9,הנחות!$B$6,0)</f>
        <v>0</v>
      </c>
      <c r="G44" s="16" t="n">
        <f aca="false">('רכיבי בסיס'!$J$20*(1+הנחות!$B$13)^((A44-1)/12)+'רכיבי בסיס'!$J$19*(1+הנחות!$B$14)^((A44-1)/12)+אופציונליים!$H$22+הנחות!$B$27)*B44*(A44&gt;=הנחות!$B$9)</f>
        <v>16507.1627325865</v>
      </c>
      <c r="H44" s="16" t="n">
        <f aca="false">IF(A44=0,הנחות!$B$8,0)+IF(A44=1,הנחות!$B$7,0)</f>
        <v>0</v>
      </c>
      <c r="I44" s="16" t="n">
        <f aca="false">C44+D44+E44+F44-G44-H44</f>
        <v>5362.83726741351</v>
      </c>
      <c r="J44" s="16" t="n">
        <f aca="false">C44+D44+E44+F44</f>
        <v>21870</v>
      </c>
      <c r="K44" s="16" t="n">
        <f aca="false">IF(A44-הנחות!$B$12&gt;=0,INDEX($J$9:$J$69,A44-הנחות!$B$12+1),0)</f>
        <v>21870</v>
      </c>
      <c r="L44" s="16" t="n">
        <f aca="false">K44-G44-H44</f>
        <v>5362.83726741351</v>
      </c>
      <c r="M44" s="16" t="n">
        <f aca="false">M43+L44</f>
        <v>131073.359695365</v>
      </c>
    </row>
    <row r="45" customFormat="false" ht="15" hidden="false" customHeight="false" outlineLevel="0" collapsed="false">
      <c r="A45" s="15" t="n">
        <v>36</v>
      </c>
      <c r="B45" s="15" t="n">
        <f aca="false">IF(AND(A45&gt;=1,A45&lt;=הנחות!$B$25),1,0)</f>
        <v>1</v>
      </c>
      <c r="C45" s="16" t="n">
        <f aca="false">'רכיבי בסיס'!$I$18*B45*(A45&gt;=הנחות!$B$9)</f>
        <v>18020</v>
      </c>
      <c r="D45" s="16" t="n">
        <f aca="false">אופציונליים!$G$21*B45*(A45&gt;=הנחות!$B$9)</f>
        <v>0</v>
      </c>
      <c r="E45" s="16" t="n">
        <f aca="false">הנחות!$B$26*B45*(A45&gt;=הנחות!$B$9)</f>
        <v>3850</v>
      </c>
      <c r="F45" s="16" t="n">
        <f aca="false">IF(A45=הנחות!$B$9,הנחות!$B$6,0)</f>
        <v>0</v>
      </c>
      <c r="G45" s="16" t="n">
        <f aca="false">('רכיבי בסיס'!$J$20*(1+הנחות!$B$13)^((A45-1)/12)+'רכיבי בסיס'!$J$19*(1+הנחות!$B$14)^((A45-1)/12)+אופציונליים!$H$22+הנחות!$B$27)*B45*(A45&gt;=הנחות!$B$9)</f>
        <v>16531.8814460354</v>
      </c>
      <c r="H45" s="16" t="n">
        <f aca="false">IF(A45=0,הנחות!$B$8,0)+IF(A45=1,הנחות!$B$7,0)</f>
        <v>0</v>
      </c>
      <c r="I45" s="16" t="n">
        <f aca="false">C45+D45+E45+F45-G45-H45</f>
        <v>5338.11855396465</v>
      </c>
      <c r="J45" s="16" t="n">
        <f aca="false">C45+D45+E45+F45</f>
        <v>21870</v>
      </c>
      <c r="K45" s="16" t="n">
        <f aca="false">IF(A45-הנחות!$B$12&gt;=0,INDEX($J$9:$J$69,A45-הנחות!$B$12+1),0)</f>
        <v>21870</v>
      </c>
      <c r="L45" s="16" t="n">
        <f aca="false">K45-G45-H45</f>
        <v>5338.11855396465</v>
      </c>
      <c r="M45" s="16" t="n">
        <f aca="false">M44+L45</f>
        <v>136411.478249329</v>
      </c>
    </row>
    <row r="46" customFormat="false" ht="15" hidden="false" customHeight="false" outlineLevel="0" collapsed="false">
      <c r="A46" s="15" t="n">
        <v>37</v>
      </c>
      <c r="B46" s="15" t="n">
        <f aca="false">IF(AND(A46&gt;=1,A46&lt;=הנחות!$B$25),1,0)</f>
        <v>1</v>
      </c>
      <c r="C46" s="16" t="n">
        <f aca="false">'רכיבי בסיס'!$I$18*B46*(A46&gt;=הנחות!$B$9)</f>
        <v>18020</v>
      </c>
      <c r="D46" s="16" t="n">
        <f aca="false">אופציונליים!$G$21*B46*(A46&gt;=הנחות!$B$9)</f>
        <v>0</v>
      </c>
      <c r="E46" s="16" t="n">
        <f aca="false">הנחות!$B$26*B46*(A46&gt;=הנחות!$B$9)</f>
        <v>3850</v>
      </c>
      <c r="F46" s="16" t="n">
        <f aca="false">IF(A46=הנחות!$B$9,הנחות!$B$6,0)</f>
        <v>0</v>
      </c>
      <c r="G46" s="16" t="n">
        <f aca="false">('רכיבי בסיס'!$J$20*(1+הנחות!$B$13)^((A46-1)/12)+'רכיבי בסיס'!$J$19*(1+הנחות!$B$14)^((A46-1)/12)+אופציונליים!$H$22+הנחות!$B$27)*B46*(A46&gt;=הנחות!$B$9)</f>
        <v>16556.6611225</v>
      </c>
      <c r="H46" s="16" t="n">
        <f aca="false">IF(A46=0,הנחות!$B$8,0)+IF(A46=1,הנחות!$B$7,0)</f>
        <v>0</v>
      </c>
      <c r="I46" s="16" t="n">
        <f aca="false">C46+D46+E46+F46-G46-H46</f>
        <v>5313.3388775</v>
      </c>
      <c r="J46" s="16" t="n">
        <f aca="false">C46+D46+E46+F46</f>
        <v>21870</v>
      </c>
      <c r="K46" s="16" t="n">
        <f aca="false">IF(A46-הנחות!$B$12&gt;=0,INDEX($J$9:$J$69,A46-הנחות!$B$12+1),0)</f>
        <v>21870</v>
      </c>
      <c r="L46" s="16" t="n">
        <f aca="false">K46-G46-H46</f>
        <v>5313.3388775</v>
      </c>
      <c r="M46" s="16" t="n">
        <f aca="false">M45+L46</f>
        <v>141724.817126829</v>
      </c>
    </row>
    <row r="47" customFormat="false" ht="15" hidden="false" customHeight="false" outlineLevel="0" collapsed="false">
      <c r="A47" s="15" t="n">
        <v>38</v>
      </c>
      <c r="B47" s="15" t="n">
        <f aca="false">IF(AND(A47&gt;=1,A47&lt;=הנחות!$B$25),1,0)</f>
        <v>1</v>
      </c>
      <c r="C47" s="16" t="n">
        <f aca="false">'רכיבי בסיס'!$I$18*B47*(A47&gt;=הנחות!$B$9)</f>
        <v>18020</v>
      </c>
      <c r="D47" s="16" t="n">
        <f aca="false">אופציונליים!$G$21*B47*(A47&gt;=הנחות!$B$9)</f>
        <v>0</v>
      </c>
      <c r="E47" s="16" t="n">
        <f aca="false">הנחות!$B$26*B47*(A47&gt;=הנחות!$B$9)</f>
        <v>3850</v>
      </c>
      <c r="F47" s="16" t="n">
        <f aca="false">IF(A47=הנחות!$B$9,הנחות!$B$6,0)</f>
        <v>0</v>
      </c>
      <c r="G47" s="16" t="n">
        <f aca="false">('רכיבי בסיס'!$J$20*(1+הנחות!$B$13)^((A47-1)/12)+'רכיבי בסיס'!$J$19*(1+הנחות!$B$14)^((A47-1)/12)+אופציונליים!$H$22+הנחות!$B$27)*B47*(A47&gt;=הנחות!$B$9)</f>
        <v>16581.5019123317</v>
      </c>
      <c r="H47" s="16" t="n">
        <f aca="false">IF(A47=0,הנחות!$B$8,0)+IF(A47=1,הנחות!$B$7,0)</f>
        <v>0</v>
      </c>
      <c r="I47" s="16" t="n">
        <f aca="false">C47+D47+E47+F47-G47-H47</f>
        <v>5288.49808766832</v>
      </c>
      <c r="J47" s="16" t="n">
        <f aca="false">C47+D47+E47+F47</f>
        <v>21870</v>
      </c>
      <c r="K47" s="16" t="n">
        <f aca="false">IF(A47-הנחות!$B$12&gt;=0,INDEX($J$9:$J$69,A47-הנחות!$B$12+1),0)</f>
        <v>21870</v>
      </c>
      <c r="L47" s="16" t="n">
        <f aca="false">K47-G47-H47</f>
        <v>5288.49808766832</v>
      </c>
      <c r="M47" s="16" t="n">
        <f aca="false">M46+L47</f>
        <v>147013.315214498</v>
      </c>
    </row>
    <row r="48" customFormat="false" ht="15" hidden="false" customHeight="false" outlineLevel="0" collapsed="false">
      <c r="A48" s="15" t="n">
        <v>39</v>
      </c>
      <c r="B48" s="15" t="n">
        <f aca="false">IF(AND(A48&gt;=1,A48&lt;=הנחות!$B$25),1,0)</f>
        <v>1</v>
      </c>
      <c r="C48" s="16" t="n">
        <f aca="false">'רכיבי בסיס'!$I$18*B48*(A48&gt;=הנחות!$B$9)</f>
        <v>18020</v>
      </c>
      <c r="D48" s="16" t="n">
        <f aca="false">אופציונליים!$G$21*B48*(A48&gt;=הנחות!$B$9)</f>
        <v>0</v>
      </c>
      <c r="E48" s="16" t="n">
        <f aca="false">הנחות!$B$26*B48*(A48&gt;=הנחות!$B$9)</f>
        <v>3850</v>
      </c>
      <c r="F48" s="16" t="n">
        <f aca="false">IF(A48=הנחות!$B$9,הנחות!$B$6,0)</f>
        <v>0</v>
      </c>
      <c r="G48" s="16" t="n">
        <f aca="false">('רכיבי בסיס'!$J$20*(1+הנחות!$B$13)^((A48-1)/12)+'רכיבי בסיס'!$J$19*(1+הנחות!$B$14)^((A48-1)/12)+אופציונליים!$H$22+הנחות!$B$27)*B48*(A48&gt;=הנחות!$B$9)</f>
        <v>16606.4039662524</v>
      </c>
      <c r="H48" s="16" t="n">
        <f aca="false">IF(A48=0,הנחות!$B$8,0)+IF(A48=1,הנחות!$B$7,0)</f>
        <v>0</v>
      </c>
      <c r="I48" s="16" t="n">
        <f aca="false">C48+D48+E48+F48-G48-H48</f>
        <v>5263.59603374756</v>
      </c>
      <c r="J48" s="16" t="n">
        <f aca="false">C48+D48+E48+F48</f>
        <v>21870</v>
      </c>
      <c r="K48" s="16" t="n">
        <f aca="false">IF(A48-הנחות!$B$12&gt;=0,INDEX($J$9:$J$69,A48-הנחות!$B$12+1),0)</f>
        <v>21870</v>
      </c>
      <c r="L48" s="16" t="n">
        <f aca="false">K48-G48-H48</f>
        <v>5263.59603374756</v>
      </c>
      <c r="M48" s="16" t="n">
        <f aca="false">M47+L48</f>
        <v>152276.911248245</v>
      </c>
    </row>
    <row r="49" customFormat="false" ht="15" hidden="false" customHeight="false" outlineLevel="0" collapsed="false">
      <c r="A49" s="15" t="n">
        <v>40</v>
      </c>
      <c r="B49" s="15" t="n">
        <f aca="false">IF(AND(A49&gt;=1,A49&lt;=הנחות!$B$25),1,0)</f>
        <v>1</v>
      </c>
      <c r="C49" s="16" t="n">
        <f aca="false">'רכיבי בסיס'!$I$18*B49*(A49&gt;=הנחות!$B$9)</f>
        <v>18020</v>
      </c>
      <c r="D49" s="16" t="n">
        <f aca="false">אופציונליים!$G$21*B49*(A49&gt;=הנחות!$B$9)</f>
        <v>0</v>
      </c>
      <c r="E49" s="16" t="n">
        <f aca="false">הנחות!$B$26*B49*(A49&gt;=הנחות!$B$9)</f>
        <v>3850</v>
      </c>
      <c r="F49" s="16" t="n">
        <f aca="false">IF(A49=הנחות!$B$9,הנחות!$B$6,0)</f>
        <v>0</v>
      </c>
      <c r="G49" s="16" t="n">
        <f aca="false">('רכיבי בסיס'!$J$20*(1+הנחות!$B$13)^((A49-1)/12)+'רכיבי בסיס'!$J$19*(1+הנחות!$B$14)^((A49-1)/12)+אופציונליים!$H$22+הנחות!$B$27)*B49*(A49&gt;=הנחות!$B$9)</f>
        <v>16631.3674353561</v>
      </c>
      <c r="H49" s="16" t="n">
        <f aca="false">IF(A49=0,הנחות!$B$8,0)+IF(A49=1,הנחות!$B$7,0)</f>
        <v>0</v>
      </c>
      <c r="I49" s="16" t="n">
        <f aca="false">C49+D49+E49+F49-G49-H49</f>
        <v>5238.63256464394</v>
      </c>
      <c r="J49" s="16" t="n">
        <f aca="false">C49+D49+E49+F49</f>
        <v>21870</v>
      </c>
      <c r="K49" s="16" t="n">
        <f aca="false">IF(A49-הנחות!$B$12&gt;=0,INDEX($J$9:$J$69,A49-הנחות!$B$12+1),0)</f>
        <v>21870</v>
      </c>
      <c r="L49" s="16" t="n">
        <f aca="false">K49-G49-H49</f>
        <v>5238.63256464394</v>
      </c>
      <c r="M49" s="16" t="n">
        <f aca="false">M48+L49</f>
        <v>157515.543812889</v>
      </c>
    </row>
    <row r="50" customFormat="false" ht="15" hidden="false" customHeight="false" outlineLevel="0" collapsed="false">
      <c r="A50" s="15" t="n">
        <v>41</v>
      </c>
      <c r="B50" s="15" t="n">
        <f aca="false">IF(AND(A50&gt;=1,A50&lt;=הנחות!$B$25),1,0)</f>
        <v>1</v>
      </c>
      <c r="C50" s="16" t="n">
        <f aca="false">'רכיבי בסיס'!$I$18*B50*(A50&gt;=הנחות!$B$9)</f>
        <v>18020</v>
      </c>
      <c r="D50" s="16" t="n">
        <f aca="false">אופציונליים!$G$21*B50*(A50&gt;=הנחות!$B$9)</f>
        <v>0</v>
      </c>
      <c r="E50" s="16" t="n">
        <f aca="false">הנחות!$B$26*B50*(A50&gt;=הנחות!$B$9)</f>
        <v>3850</v>
      </c>
      <c r="F50" s="16" t="n">
        <f aca="false">IF(A50=הנחות!$B$9,הנחות!$B$6,0)</f>
        <v>0</v>
      </c>
      <c r="G50" s="16" t="n">
        <f aca="false">('רכיבי בסיס'!$J$20*(1+הנחות!$B$13)^((A50-1)/12)+'רכיבי בסיס'!$J$19*(1+הנחות!$B$14)^((A50-1)/12)+אופציונליים!$H$22+הנחות!$B$27)*B50*(A50&gt;=הנחות!$B$9)</f>
        <v>16656.3924711089</v>
      </c>
      <c r="H50" s="16" t="n">
        <f aca="false">IF(A50=0,הנחות!$B$8,0)+IF(A50=1,הנחות!$B$7,0)</f>
        <v>0</v>
      </c>
      <c r="I50" s="16" t="n">
        <f aca="false">C50+D50+E50+F50-G50-H50</f>
        <v>5213.60752889106</v>
      </c>
      <c r="J50" s="16" t="n">
        <f aca="false">C50+D50+E50+F50</f>
        <v>21870</v>
      </c>
      <c r="K50" s="16" t="n">
        <f aca="false">IF(A50-הנחות!$B$12&gt;=0,INDEX($J$9:$J$69,A50-הנחות!$B$12+1),0)</f>
        <v>21870</v>
      </c>
      <c r="L50" s="16" t="n">
        <f aca="false">K50-G50-H50</f>
        <v>5213.60752889106</v>
      </c>
      <c r="M50" s="16" t="n">
        <f aca="false">M49+L50</f>
        <v>162729.15134178</v>
      </c>
    </row>
    <row r="51" customFormat="false" ht="15" hidden="false" customHeight="false" outlineLevel="0" collapsed="false">
      <c r="A51" s="15" t="n">
        <v>42</v>
      </c>
      <c r="B51" s="15" t="n">
        <f aca="false">IF(AND(A51&gt;=1,A51&lt;=הנחות!$B$25),1,0)</f>
        <v>1</v>
      </c>
      <c r="C51" s="16" t="n">
        <f aca="false">'רכיבי בסיס'!$I$18*B51*(A51&gt;=הנחות!$B$9)</f>
        <v>18020</v>
      </c>
      <c r="D51" s="16" t="n">
        <f aca="false">אופציונליים!$G$21*B51*(A51&gt;=הנחות!$B$9)</f>
        <v>0</v>
      </c>
      <c r="E51" s="16" t="n">
        <f aca="false">הנחות!$B$26*B51*(A51&gt;=הנחות!$B$9)</f>
        <v>3850</v>
      </c>
      <c r="F51" s="16" t="n">
        <f aca="false">IF(A51=הנחות!$B$9,הנחות!$B$6,0)</f>
        <v>0</v>
      </c>
      <c r="G51" s="16" t="n">
        <f aca="false">('רכיבי בסיס'!$J$20*(1+הנחות!$B$13)^((A51-1)/12)+'רכיבי בסיס'!$J$19*(1+הנחות!$B$14)^((A51-1)/12)+אופציונליים!$H$22+הנחות!$B$27)*B51*(A51&gt;=הנחות!$B$9)</f>
        <v>16681.4792253511</v>
      </c>
      <c r="H51" s="16" t="n">
        <f aca="false">IF(A51=0,הנחות!$B$8,0)+IF(A51=1,הנחות!$B$7,0)</f>
        <v>0</v>
      </c>
      <c r="I51" s="16" t="n">
        <f aca="false">C51+D51+E51+F51-G51-H51</f>
        <v>5188.52077464895</v>
      </c>
      <c r="J51" s="16" t="n">
        <f aca="false">C51+D51+E51+F51</f>
        <v>21870</v>
      </c>
      <c r="K51" s="16" t="n">
        <f aca="false">IF(A51-הנחות!$B$12&gt;=0,INDEX($J$9:$J$69,A51-הנחות!$B$12+1),0)</f>
        <v>21870</v>
      </c>
      <c r="L51" s="16" t="n">
        <f aca="false">K51-G51-H51</f>
        <v>5188.52077464895</v>
      </c>
      <c r="M51" s="16" t="n">
        <f aca="false">M50+L51</f>
        <v>167917.672116429</v>
      </c>
    </row>
    <row r="52" customFormat="false" ht="15" hidden="false" customHeight="false" outlineLevel="0" collapsed="false">
      <c r="A52" s="15" t="n">
        <v>43</v>
      </c>
      <c r="B52" s="15" t="n">
        <f aca="false">IF(AND(A52&gt;=1,A52&lt;=הנחות!$B$25),1,0)</f>
        <v>1</v>
      </c>
      <c r="C52" s="16" t="n">
        <f aca="false">'רכיבי בסיס'!$I$18*B52*(A52&gt;=הנחות!$B$9)</f>
        <v>18020</v>
      </c>
      <c r="D52" s="16" t="n">
        <f aca="false">אופציונליים!$G$21*B52*(A52&gt;=הנחות!$B$9)</f>
        <v>0</v>
      </c>
      <c r="E52" s="16" t="n">
        <f aca="false">הנחות!$B$26*B52*(A52&gt;=הנחות!$B$9)</f>
        <v>3850</v>
      </c>
      <c r="F52" s="16" t="n">
        <f aca="false">IF(A52=הנחות!$B$9,הנחות!$B$6,0)</f>
        <v>0</v>
      </c>
      <c r="G52" s="16" t="n">
        <f aca="false">('רכיבי בסיס'!$J$20*(1+הנחות!$B$13)^((A52-1)/12)+'רכיבי בסיס'!$J$19*(1+הנחות!$B$14)^((A52-1)/12)+אופציונליים!$H$22+הנחות!$B$27)*B52*(A52&gt;=הנחות!$B$9)</f>
        <v>16706.6278502968</v>
      </c>
      <c r="H52" s="16" t="n">
        <f aca="false">IF(A52=0,הנחות!$B$8,0)+IF(A52=1,הנחות!$B$7,0)</f>
        <v>0</v>
      </c>
      <c r="I52" s="16" t="n">
        <f aca="false">C52+D52+E52+F52-G52-H52</f>
        <v>5163.37214970317</v>
      </c>
      <c r="J52" s="16" t="n">
        <f aca="false">C52+D52+E52+F52</f>
        <v>21870</v>
      </c>
      <c r="K52" s="16" t="n">
        <f aca="false">IF(A52-הנחות!$B$12&gt;=0,INDEX($J$9:$J$69,A52-הנחות!$B$12+1),0)</f>
        <v>21870</v>
      </c>
      <c r="L52" s="16" t="n">
        <f aca="false">K52-G52-H52</f>
        <v>5163.37214970317</v>
      </c>
      <c r="M52" s="16" t="n">
        <f aca="false">M51+L52</f>
        <v>173081.044266132</v>
      </c>
    </row>
    <row r="53" customFormat="false" ht="15" hidden="false" customHeight="false" outlineLevel="0" collapsed="false">
      <c r="A53" s="15" t="n">
        <v>44</v>
      </c>
      <c r="B53" s="15" t="n">
        <f aca="false">IF(AND(A53&gt;=1,A53&lt;=הנחות!$B$25),1,0)</f>
        <v>1</v>
      </c>
      <c r="C53" s="16" t="n">
        <f aca="false">'רכיבי בסיס'!$I$18*B53*(A53&gt;=הנחות!$B$9)</f>
        <v>18020</v>
      </c>
      <c r="D53" s="16" t="n">
        <f aca="false">אופציונליים!$G$21*B53*(A53&gt;=הנחות!$B$9)</f>
        <v>0</v>
      </c>
      <c r="E53" s="16" t="n">
        <f aca="false">הנחות!$B$26*B53*(A53&gt;=הנחות!$B$9)</f>
        <v>3850</v>
      </c>
      <c r="F53" s="16" t="n">
        <f aca="false">IF(A53=הנחות!$B$9,הנחות!$B$6,0)</f>
        <v>0</v>
      </c>
      <c r="G53" s="16" t="n">
        <f aca="false">('רכיבי בסיס'!$J$20*(1+הנחות!$B$13)^((A53-1)/12)+'רכיבי בסיס'!$J$19*(1+הנחות!$B$14)^((A53-1)/12)+אופציונליים!$H$22+הנחות!$B$27)*B53*(A53&gt;=הנחות!$B$9)</f>
        <v>16731.8384985361</v>
      </c>
      <c r="H53" s="16" t="n">
        <f aca="false">IF(A53=0,הנחות!$B$8,0)+IF(A53=1,הנחות!$B$7,0)</f>
        <v>0</v>
      </c>
      <c r="I53" s="16" t="n">
        <f aca="false">C53+D53+E53+F53-G53-H53</f>
        <v>5138.16150146387</v>
      </c>
      <c r="J53" s="16" t="n">
        <f aca="false">C53+D53+E53+F53</f>
        <v>21870</v>
      </c>
      <c r="K53" s="16" t="n">
        <f aca="false">IF(A53-הנחות!$B$12&gt;=0,INDEX($J$9:$J$69,A53-הנחות!$B$12+1),0)</f>
        <v>21870</v>
      </c>
      <c r="L53" s="16" t="n">
        <f aca="false">K53-G53-H53</f>
        <v>5138.16150146387</v>
      </c>
      <c r="M53" s="16" t="n">
        <f aca="false">M52+L53</f>
        <v>178219.205767596</v>
      </c>
    </row>
    <row r="54" customFormat="false" ht="15" hidden="false" customHeight="false" outlineLevel="0" collapsed="false">
      <c r="A54" s="15" t="n">
        <v>45</v>
      </c>
      <c r="B54" s="15" t="n">
        <f aca="false">IF(AND(A54&gt;=1,A54&lt;=הנחות!$B$25),1,0)</f>
        <v>1</v>
      </c>
      <c r="C54" s="16" t="n">
        <f aca="false">'רכיבי בסיס'!$I$18*B54*(A54&gt;=הנחות!$B$9)</f>
        <v>18020</v>
      </c>
      <c r="D54" s="16" t="n">
        <f aca="false">אופציונליים!$G$21*B54*(A54&gt;=הנחות!$B$9)</f>
        <v>0</v>
      </c>
      <c r="E54" s="16" t="n">
        <f aca="false">הנחות!$B$26*B54*(A54&gt;=הנחות!$B$9)</f>
        <v>3850</v>
      </c>
      <c r="F54" s="16" t="n">
        <f aca="false">IF(A54=הנחות!$B$9,הנחות!$B$6,0)</f>
        <v>0</v>
      </c>
      <c r="G54" s="16" t="n">
        <f aca="false">('רכיבי בסיס'!$J$20*(1+הנחות!$B$13)^((A54-1)/12)+'רכיבי בסיס'!$J$19*(1+הנחות!$B$14)^((A54-1)/12)+אופציונליים!$H$22+הנחות!$B$27)*B54*(A54&gt;=הנחות!$B$9)</f>
        <v>16757.1113230351</v>
      </c>
      <c r="H54" s="16" t="n">
        <f aca="false">IF(A54=0,הנחות!$B$8,0)+IF(A54=1,הנחות!$B$7,0)</f>
        <v>0</v>
      </c>
      <c r="I54" s="16" t="n">
        <f aca="false">C54+D54+E54+F54-G54-H54</f>
        <v>5112.88867696488</v>
      </c>
      <c r="J54" s="16" t="n">
        <f aca="false">C54+D54+E54+F54</f>
        <v>21870</v>
      </c>
      <c r="K54" s="16" t="n">
        <f aca="false">IF(A54-הנחות!$B$12&gt;=0,INDEX($J$9:$J$69,A54-הנחות!$B$12+1),0)</f>
        <v>21870</v>
      </c>
      <c r="L54" s="16" t="n">
        <f aca="false">K54-G54-H54</f>
        <v>5112.88867696488</v>
      </c>
      <c r="M54" s="16" t="n">
        <f aca="false">M53+L54</f>
        <v>183332.094444561</v>
      </c>
    </row>
    <row r="55" customFormat="false" ht="15" hidden="false" customHeight="false" outlineLevel="0" collapsed="false">
      <c r="A55" s="15" t="n">
        <v>46</v>
      </c>
      <c r="B55" s="15" t="n">
        <f aca="false">IF(AND(A55&gt;=1,A55&lt;=הנחות!$B$25),1,0)</f>
        <v>1</v>
      </c>
      <c r="C55" s="16" t="n">
        <f aca="false">'רכיבי בסיס'!$I$18*B55*(A55&gt;=הנחות!$B$9)</f>
        <v>18020</v>
      </c>
      <c r="D55" s="16" t="n">
        <f aca="false">אופציונליים!$G$21*B55*(A55&gt;=הנחות!$B$9)</f>
        <v>0</v>
      </c>
      <c r="E55" s="16" t="n">
        <f aca="false">הנחות!$B$26*B55*(A55&gt;=הנחות!$B$9)</f>
        <v>3850</v>
      </c>
      <c r="F55" s="16" t="n">
        <f aca="false">IF(A55=הנחות!$B$9,הנחות!$B$6,0)</f>
        <v>0</v>
      </c>
      <c r="G55" s="16" t="n">
        <f aca="false">('רכיבי בסיס'!$J$20*(1+הנחות!$B$13)^((A55-1)/12)+'רכיבי בסיס'!$J$19*(1+הנחות!$B$14)^((A55-1)/12)+אופציונליים!$H$22+הנחות!$B$27)*B55*(A55&gt;=הנחות!$B$9)</f>
        <v>16782.4464771372</v>
      </c>
      <c r="H55" s="16" t="n">
        <f aca="false">IF(A55=0,הנחות!$B$8,0)+IF(A55=1,הנחות!$B$7,0)</f>
        <v>0</v>
      </c>
      <c r="I55" s="16" t="n">
        <f aca="false">C55+D55+E55+F55-G55-H55</f>
        <v>5087.55352286277</v>
      </c>
      <c r="J55" s="16" t="n">
        <f aca="false">C55+D55+E55+F55</f>
        <v>21870</v>
      </c>
      <c r="K55" s="16" t="n">
        <f aca="false">IF(A55-הנחות!$B$12&gt;=0,INDEX($J$9:$J$69,A55-הנחות!$B$12+1),0)</f>
        <v>21870</v>
      </c>
      <c r="L55" s="16" t="n">
        <f aca="false">K55-G55-H55</f>
        <v>5087.55352286277</v>
      </c>
      <c r="M55" s="16" t="n">
        <f aca="false">M54+L55</f>
        <v>188419.647967424</v>
      </c>
    </row>
    <row r="56" customFormat="false" ht="15" hidden="false" customHeight="false" outlineLevel="0" collapsed="false">
      <c r="A56" s="15" t="n">
        <v>47</v>
      </c>
      <c r="B56" s="15" t="n">
        <f aca="false">IF(AND(A56&gt;=1,A56&lt;=הנחות!$B$25),1,0)</f>
        <v>1</v>
      </c>
      <c r="C56" s="16" t="n">
        <f aca="false">'רכיבי בסיס'!$I$18*B56*(A56&gt;=הנחות!$B$9)</f>
        <v>18020</v>
      </c>
      <c r="D56" s="16" t="n">
        <f aca="false">אופציונליים!$G$21*B56*(A56&gt;=הנחות!$B$9)</f>
        <v>0</v>
      </c>
      <c r="E56" s="16" t="n">
        <f aca="false">הנחות!$B$26*B56*(A56&gt;=הנחות!$B$9)</f>
        <v>3850</v>
      </c>
      <c r="F56" s="16" t="n">
        <f aca="false">IF(A56=הנחות!$B$9,הנחות!$B$6,0)</f>
        <v>0</v>
      </c>
      <c r="G56" s="16" t="n">
        <f aca="false">('רכיבי בסיס'!$J$20*(1+הנחות!$B$13)^((A56-1)/12)+'רכיבי בסיס'!$J$19*(1+הנחות!$B$14)^((A56-1)/12)+אופציונליים!$H$22+הנחות!$B$27)*B56*(A56&gt;=הנחות!$B$9)</f>
        <v>16807.8441145641</v>
      </c>
      <c r="H56" s="16" t="n">
        <f aca="false">IF(A56=0,הנחות!$B$8,0)+IF(A56=1,הנחות!$B$7,0)</f>
        <v>0</v>
      </c>
      <c r="I56" s="16" t="n">
        <f aca="false">C56+D56+E56+F56-G56-H56</f>
        <v>5062.15588543591</v>
      </c>
      <c r="J56" s="16" t="n">
        <f aca="false">C56+D56+E56+F56</f>
        <v>21870</v>
      </c>
      <c r="K56" s="16" t="n">
        <f aca="false">IF(A56-הנחות!$B$12&gt;=0,INDEX($J$9:$J$69,A56-הנחות!$B$12+1),0)</f>
        <v>21870</v>
      </c>
      <c r="L56" s="16" t="n">
        <f aca="false">K56-G56-H56</f>
        <v>5062.15588543591</v>
      </c>
      <c r="M56" s="16" t="n">
        <f aca="false">M55+L56</f>
        <v>193481.80385286</v>
      </c>
    </row>
    <row r="57" customFormat="false" ht="15" hidden="false" customHeight="false" outlineLevel="0" collapsed="false">
      <c r="A57" s="15" t="n">
        <v>48</v>
      </c>
      <c r="B57" s="15" t="n">
        <f aca="false">IF(AND(A57&gt;=1,A57&lt;=הנחות!$B$25),1,0)</f>
        <v>1</v>
      </c>
      <c r="C57" s="16" t="n">
        <f aca="false">'רכיבי בסיס'!$I$18*B57*(A57&gt;=הנחות!$B$9)</f>
        <v>18020</v>
      </c>
      <c r="D57" s="16" t="n">
        <f aca="false">אופציונליים!$G$21*B57*(A57&gt;=הנחות!$B$9)</f>
        <v>0</v>
      </c>
      <c r="E57" s="16" t="n">
        <f aca="false">הנחות!$B$26*B57*(A57&gt;=הנחות!$B$9)</f>
        <v>3850</v>
      </c>
      <c r="F57" s="16" t="n">
        <f aca="false">IF(A57=הנחות!$B$9,הנחות!$B$6,0)</f>
        <v>0</v>
      </c>
      <c r="G57" s="16" t="n">
        <f aca="false">('רכיבי בסיס'!$J$20*(1+הנחות!$B$13)^((A57-1)/12)+'רכיבי בסיס'!$J$19*(1+הנחות!$B$14)^((A57-1)/12)+אופציונליים!$H$22+הנחות!$B$27)*B57*(A57&gt;=הנחות!$B$9)</f>
        <v>16833.3043894164</v>
      </c>
      <c r="H57" s="16" t="n">
        <f aca="false">IF(A57=0,הנחות!$B$8,0)+IF(A57=1,הנחות!$B$7,0)</f>
        <v>0</v>
      </c>
      <c r="I57" s="16" t="n">
        <f aca="false">C57+D57+E57+F57-G57-H57</f>
        <v>5036.69561058359</v>
      </c>
      <c r="J57" s="16" t="n">
        <f aca="false">C57+D57+E57+F57</f>
        <v>21870</v>
      </c>
      <c r="K57" s="16" t="n">
        <f aca="false">IF(A57-הנחות!$B$12&gt;=0,INDEX($J$9:$J$69,A57-הנחות!$B$12+1),0)</f>
        <v>21870</v>
      </c>
      <c r="L57" s="16" t="n">
        <f aca="false">K57-G57-H57</f>
        <v>5036.69561058359</v>
      </c>
      <c r="M57" s="16" t="n">
        <f aca="false">M56+L57</f>
        <v>198518.499463443</v>
      </c>
    </row>
    <row r="58" customFormat="false" ht="15" hidden="false" customHeight="false" outlineLevel="0" collapsed="false">
      <c r="A58" s="15" t="n">
        <v>49</v>
      </c>
      <c r="B58" s="15" t="n">
        <f aca="false">IF(AND(A58&gt;=1,A58&lt;=הנחות!$B$25),1,0)</f>
        <v>0</v>
      </c>
      <c r="C58" s="16" t="n">
        <f aca="false">'רכיבי בסיס'!$I$18*B58*(A58&gt;=הנחות!$B$9)</f>
        <v>0</v>
      </c>
      <c r="D58" s="16" t="n">
        <f aca="false">אופציונליים!$G$21*B58*(A58&gt;=הנחות!$B$9)</f>
        <v>0</v>
      </c>
      <c r="E58" s="16" t="n">
        <f aca="false">הנחות!$B$26*B58*(A58&gt;=הנחות!$B$9)</f>
        <v>0</v>
      </c>
      <c r="F58" s="16" t="n">
        <f aca="false">IF(A58=הנחות!$B$9,הנחות!$B$6,0)</f>
        <v>0</v>
      </c>
      <c r="G58" s="16" t="n">
        <f aca="false">('רכיבי בסיס'!$J$20*(1+הנחות!$B$13)^((A58-1)/12)+'רכיבי בסיס'!$J$19*(1+הנחות!$B$14)^((A58-1)/12)+אופציונליים!$H$22+הנחות!$B$27)*B58*(A58&gt;=הנחות!$B$9)</f>
        <v>0</v>
      </c>
      <c r="H58" s="16" t="n">
        <f aca="false">IF(A58=0,הנחות!$B$8,0)+IF(A58=1,הנחות!$B$7,0)</f>
        <v>0</v>
      </c>
      <c r="I58" s="16" t="n">
        <f aca="false">C58+D58+E58+F58-G58-H58</f>
        <v>0</v>
      </c>
      <c r="J58" s="16" t="n">
        <f aca="false">C58+D58+E58+F58</f>
        <v>0</v>
      </c>
      <c r="K58" s="16" t="n">
        <f aca="false">IF(A58-הנחות!$B$12&gt;=0,INDEX($J$9:$J$69,A58-הנחות!$B$12+1),0)</f>
        <v>21870</v>
      </c>
      <c r="L58" s="16" t="n">
        <f aca="false">K58-G58-H58</f>
        <v>21870</v>
      </c>
      <c r="M58" s="16" t="n">
        <f aca="false">M57+L58</f>
        <v>220388.499463443</v>
      </c>
    </row>
    <row r="59" customFormat="false" ht="15" hidden="false" customHeight="false" outlineLevel="0" collapsed="false">
      <c r="A59" s="15" t="n">
        <v>50</v>
      </c>
      <c r="B59" s="15" t="n">
        <f aca="false">IF(AND(A59&gt;=1,A59&lt;=הנחות!$B$25),1,0)</f>
        <v>0</v>
      </c>
      <c r="C59" s="16" t="n">
        <f aca="false">'רכיבי בסיס'!$I$18*B59*(A59&gt;=הנחות!$B$9)</f>
        <v>0</v>
      </c>
      <c r="D59" s="16" t="n">
        <f aca="false">אופציונליים!$G$21*B59*(A59&gt;=הנחות!$B$9)</f>
        <v>0</v>
      </c>
      <c r="E59" s="16" t="n">
        <f aca="false">הנחות!$B$26*B59*(A59&gt;=הנחות!$B$9)</f>
        <v>0</v>
      </c>
      <c r="F59" s="16" t="n">
        <f aca="false">IF(A59=הנחות!$B$9,הנחות!$B$6,0)</f>
        <v>0</v>
      </c>
      <c r="G59" s="16" t="n">
        <f aca="false">('רכיבי בסיס'!$J$20*(1+הנחות!$B$13)^((A59-1)/12)+'רכיבי בסיס'!$J$19*(1+הנחות!$B$14)^((A59-1)/12)+אופציונליים!$H$22+הנחות!$B$27)*B59*(A59&gt;=הנחות!$B$9)</f>
        <v>0</v>
      </c>
      <c r="H59" s="16" t="n">
        <f aca="false">IF(A59=0,הנחות!$B$8,0)+IF(A59=1,הנחות!$B$7,0)</f>
        <v>0</v>
      </c>
      <c r="I59" s="16" t="n">
        <f aca="false">C59+D59+E59+F59-G59-H59</f>
        <v>0</v>
      </c>
      <c r="J59" s="16" t="n">
        <f aca="false">C59+D59+E59+F59</f>
        <v>0</v>
      </c>
      <c r="K59" s="16" t="n">
        <f aca="false">IF(A59-הנחות!$B$12&gt;=0,INDEX($J$9:$J$69,A59-הנחות!$B$12+1),0)</f>
        <v>21870</v>
      </c>
      <c r="L59" s="16" t="n">
        <f aca="false">K59-G59-H59</f>
        <v>21870</v>
      </c>
      <c r="M59" s="16" t="n">
        <f aca="false">M58+L59</f>
        <v>242258.499463443</v>
      </c>
    </row>
    <row r="60" customFormat="false" ht="15" hidden="false" customHeight="false" outlineLevel="0" collapsed="false">
      <c r="A60" s="15" t="n">
        <v>51</v>
      </c>
      <c r="B60" s="15" t="n">
        <f aca="false">IF(AND(A60&gt;=1,A60&lt;=הנחות!$B$25),1,0)</f>
        <v>0</v>
      </c>
      <c r="C60" s="16" t="n">
        <f aca="false">'רכיבי בסיס'!$I$18*B60*(A60&gt;=הנחות!$B$9)</f>
        <v>0</v>
      </c>
      <c r="D60" s="16" t="n">
        <f aca="false">אופציונליים!$G$21*B60*(A60&gt;=הנחות!$B$9)</f>
        <v>0</v>
      </c>
      <c r="E60" s="16" t="n">
        <f aca="false">הנחות!$B$26*B60*(A60&gt;=הנחות!$B$9)</f>
        <v>0</v>
      </c>
      <c r="F60" s="16" t="n">
        <f aca="false">IF(A60=הנחות!$B$9,הנחות!$B$6,0)</f>
        <v>0</v>
      </c>
      <c r="G60" s="16" t="n">
        <f aca="false">('רכיבי בסיס'!$J$20*(1+הנחות!$B$13)^((A60-1)/12)+'רכיבי בסיס'!$J$19*(1+הנחות!$B$14)^((A60-1)/12)+אופציונליים!$H$22+הנחות!$B$27)*B60*(A60&gt;=הנחות!$B$9)</f>
        <v>0</v>
      </c>
      <c r="H60" s="16" t="n">
        <f aca="false">IF(A60=0,הנחות!$B$8,0)+IF(A60=1,הנחות!$B$7,0)</f>
        <v>0</v>
      </c>
      <c r="I60" s="16" t="n">
        <f aca="false">C60+D60+E60+F60-G60-H60</f>
        <v>0</v>
      </c>
      <c r="J60" s="16" t="n">
        <f aca="false">C60+D60+E60+F60</f>
        <v>0</v>
      </c>
      <c r="K60" s="16" t="n">
        <f aca="false">IF(A60-הנחות!$B$12&gt;=0,INDEX($J$9:$J$69,A60-הנחות!$B$12+1),0)</f>
        <v>0</v>
      </c>
      <c r="L60" s="16" t="n">
        <f aca="false">K60-G60-H60</f>
        <v>0</v>
      </c>
      <c r="M60" s="16" t="n">
        <f aca="false">M59+L60</f>
        <v>242258.499463443</v>
      </c>
    </row>
    <row r="61" customFormat="false" ht="15" hidden="false" customHeight="false" outlineLevel="0" collapsed="false">
      <c r="A61" s="15" t="n">
        <v>52</v>
      </c>
      <c r="B61" s="15" t="n">
        <f aca="false">IF(AND(A61&gt;=1,A61&lt;=הנחות!$B$25),1,0)</f>
        <v>0</v>
      </c>
      <c r="C61" s="16" t="n">
        <f aca="false">'רכיבי בסיס'!$I$18*B61*(A61&gt;=הנחות!$B$9)</f>
        <v>0</v>
      </c>
      <c r="D61" s="16" t="n">
        <f aca="false">אופציונליים!$G$21*B61*(A61&gt;=הנחות!$B$9)</f>
        <v>0</v>
      </c>
      <c r="E61" s="16" t="n">
        <f aca="false">הנחות!$B$26*B61*(A61&gt;=הנחות!$B$9)</f>
        <v>0</v>
      </c>
      <c r="F61" s="16" t="n">
        <f aca="false">IF(A61=הנחות!$B$9,הנחות!$B$6,0)</f>
        <v>0</v>
      </c>
      <c r="G61" s="16" t="n">
        <f aca="false">('רכיבי בסיס'!$J$20*(1+הנחות!$B$13)^((A61-1)/12)+'רכיבי בסיס'!$J$19*(1+הנחות!$B$14)^((A61-1)/12)+אופציונליים!$H$22+הנחות!$B$27)*B61*(A61&gt;=הנחות!$B$9)</f>
        <v>0</v>
      </c>
      <c r="H61" s="16" t="n">
        <f aca="false">IF(A61=0,הנחות!$B$8,0)+IF(A61=1,הנחות!$B$7,0)</f>
        <v>0</v>
      </c>
      <c r="I61" s="16" t="n">
        <f aca="false">C61+D61+E61+F61-G61-H61</f>
        <v>0</v>
      </c>
      <c r="J61" s="16" t="n">
        <f aca="false">C61+D61+E61+F61</f>
        <v>0</v>
      </c>
      <c r="K61" s="16" t="n">
        <f aca="false">IF(A61-הנחות!$B$12&gt;=0,INDEX($J$9:$J$69,A61-הנחות!$B$12+1),0)</f>
        <v>0</v>
      </c>
      <c r="L61" s="16" t="n">
        <f aca="false">K61-G61-H61</f>
        <v>0</v>
      </c>
      <c r="M61" s="16" t="n">
        <f aca="false">M60+L61</f>
        <v>242258.499463443</v>
      </c>
    </row>
    <row r="62" customFormat="false" ht="15" hidden="false" customHeight="false" outlineLevel="0" collapsed="false">
      <c r="A62" s="15" t="n">
        <v>53</v>
      </c>
      <c r="B62" s="15" t="n">
        <f aca="false">IF(AND(A62&gt;=1,A62&lt;=הנחות!$B$25),1,0)</f>
        <v>0</v>
      </c>
      <c r="C62" s="16" t="n">
        <f aca="false">'רכיבי בסיס'!$I$18*B62*(A62&gt;=הנחות!$B$9)</f>
        <v>0</v>
      </c>
      <c r="D62" s="16" t="n">
        <f aca="false">אופציונליים!$G$21*B62*(A62&gt;=הנחות!$B$9)</f>
        <v>0</v>
      </c>
      <c r="E62" s="16" t="n">
        <f aca="false">הנחות!$B$26*B62*(A62&gt;=הנחות!$B$9)</f>
        <v>0</v>
      </c>
      <c r="F62" s="16" t="n">
        <f aca="false">IF(A62=הנחות!$B$9,הנחות!$B$6,0)</f>
        <v>0</v>
      </c>
      <c r="G62" s="16" t="n">
        <f aca="false">('רכיבי בסיס'!$J$20*(1+הנחות!$B$13)^((A62-1)/12)+'רכיבי בסיס'!$J$19*(1+הנחות!$B$14)^((A62-1)/12)+אופציונליים!$H$22+הנחות!$B$27)*B62*(A62&gt;=הנחות!$B$9)</f>
        <v>0</v>
      </c>
      <c r="H62" s="16" t="n">
        <f aca="false">IF(A62=0,הנחות!$B$8,0)+IF(A62=1,הנחות!$B$7,0)</f>
        <v>0</v>
      </c>
      <c r="I62" s="16" t="n">
        <f aca="false">C62+D62+E62+F62-G62-H62</f>
        <v>0</v>
      </c>
      <c r="J62" s="16" t="n">
        <f aca="false">C62+D62+E62+F62</f>
        <v>0</v>
      </c>
      <c r="K62" s="16" t="n">
        <f aca="false">IF(A62-הנחות!$B$12&gt;=0,INDEX($J$9:$J$69,A62-הנחות!$B$12+1),0)</f>
        <v>0</v>
      </c>
      <c r="L62" s="16" t="n">
        <f aca="false">K62-G62-H62</f>
        <v>0</v>
      </c>
      <c r="M62" s="16" t="n">
        <f aca="false">M61+L62</f>
        <v>242258.499463443</v>
      </c>
    </row>
    <row r="63" customFormat="false" ht="15" hidden="false" customHeight="false" outlineLevel="0" collapsed="false">
      <c r="A63" s="15" t="n">
        <v>54</v>
      </c>
      <c r="B63" s="15" t="n">
        <f aca="false">IF(AND(A63&gt;=1,A63&lt;=הנחות!$B$25),1,0)</f>
        <v>0</v>
      </c>
      <c r="C63" s="16" t="n">
        <f aca="false">'רכיבי בסיס'!$I$18*B63*(A63&gt;=הנחות!$B$9)</f>
        <v>0</v>
      </c>
      <c r="D63" s="16" t="n">
        <f aca="false">אופציונליים!$G$21*B63*(A63&gt;=הנחות!$B$9)</f>
        <v>0</v>
      </c>
      <c r="E63" s="16" t="n">
        <f aca="false">הנחות!$B$26*B63*(A63&gt;=הנחות!$B$9)</f>
        <v>0</v>
      </c>
      <c r="F63" s="16" t="n">
        <f aca="false">IF(A63=הנחות!$B$9,הנחות!$B$6,0)</f>
        <v>0</v>
      </c>
      <c r="G63" s="16" t="n">
        <f aca="false">('רכיבי בסיס'!$J$20*(1+הנחות!$B$13)^((A63-1)/12)+'רכיבי בסיס'!$J$19*(1+הנחות!$B$14)^((A63-1)/12)+אופציונליים!$H$22+הנחות!$B$27)*B63*(A63&gt;=הנחות!$B$9)</f>
        <v>0</v>
      </c>
      <c r="H63" s="16" t="n">
        <f aca="false">IF(A63=0,הנחות!$B$8,0)+IF(A63=1,הנחות!$B$7,0)</f>
        <v>0</v>
      </c>
      <c r="I63" s="16" t="n">
        <f aca="false">C63+D63+E63+F63-G63-H63</f>
        <v>0</v>
      </c>
      <c r="J63" s="16" t="n">
        <f aca="false">C63+D63+E63+F63</f>
        <v>0</v>
      </c>
      <c r="K63" s="16" t="n">
        <f aca="false">IF(A63-הנחות!$B$12&gt;=0,INDEX($J$9:$J$69,A63-הנחות!$B$12+1),0)</f>
        <v>0</v>
      </c>
      <c r="L63" s="16" t="n">
        <f aca="false">K63-G63-H63</f>
        <v>0</v>
      </c>
      <c r="M63" s="16" t="n">
        <f aca="false">M62+L63</f>
        <v>242258.499463443</v>
      </c>
    </row>
    <row r="64" customFormat="false" ht="15" hidden="false" customHeight="false" outlineLevel="0" collapsed="false">
      <c r="A64" s="15" t="n">
        <v>55</v>
      </c>
      <c r="B64" s="15" t="n">
        <f aca="false">IF(AND(A64&gt;=1,A64&lt;=הנחות!$B$25),1,0)</f>
        <v>0</v>
      </c>
      <c r="C64" s="16" t="n">
        <f aca="false">'רכיבי בסיס'!$I$18*B64*(A64&gt;=הנחות!$B$9)</f>
        <v>0</v>
      </c>
      <c r="D64" s="16" t="n">
        <f aca="false">אופציונליים!$G$21*B64*(A64&gt;=הנחות!$B$9)</f>
        <v>0</v>
      </c>
      <c r="E64" s="16" t="n">
        <f aca="false">הנחות!$B$26*B64*(A64&gt;=הנחות!$B$9)</f>
        <v>0</v>
      </c>
      <c r="F64" s="16" t="n">
        <f aca="false">IF(A64=הנחות!$B$9,הנחות!$B$6,0)</f>
        <v>0</v>
      </c>
      <c r="G64" s="16" t="n">
        <f aca="false">('רכיבי בסיס'!$J$20*(1+הנחות!$B$13)^((A64-1)/12)+'רכיבי בסיס'!$J$19*(1+הנחות!$B$14)^((A64-1)/12)+אופציונליים!$H$22+הנחות!$B$27)*B64*(A64&gt;=הנחות!$B$9)</f>
        <v>0</v>
      </c>
      <c r="H64" s="16" t="n">
        <f aca="false">IF(A64=0,הנחות!$B$8,0)+IF(A64=1,הנחות!$B$7,0)</f>
        <v>0</v>
      </c>
      <c r="I64" s="16" t="n">
        <f aca="false">C64+D64+E64+F64-G64-H64</f>
        <v>0</v>
      </c>
      <c r="J64" s="16" t="n">
        <f aca="false">C64+D64+E64+F64</f>
        <v>0</v>
      </c>
      <c r="K64" s="16" t="n">
        <f aca="false">IF(A64-הנחות!$B$12&gt;=0,INDEX($J$9:$J$69,A64-הנחות!$B$12+1),0)</f>
        <v>0</v>
      </c>
      <c r="L64" s="16" t="n">
        <f aca="false">K64-G64-H64</f>
        <v>0</v>
      </c>
      <c r="M64" s="16" t="n">
        <f aca="false">M63+L64</f>
        <v>242258.499463443</v>
      </c>
    </row>
    <row r="65" customFormat="false" ht="15" hidden="false" customHeight="false" outlineLevel="0" collapsed="false">
      <c r="A65" s="15" t="n">
        <v>56</v>
      </c>
      <c r="B65" s="15" t="n">
        <f aca="false">IF(AND(A65&gt;=1,A65&lt;=הנחות!$B$25),1,0)</f>
        <v>0</v>
      </c>
      <c r="C65" s="16" t="n">
        <f aca="false">'רכיבי בסיס'!$I$18*B65*(A65&gt;=הנחות!$B$9)</f>
        <v>0</v>
      </c>
      <c r="D65" s="16" t="n">
        <f aca="false">אופציונליים!$G$21*B65*(A65&gt;=הנחות!$B$9)</f>
        <v>0</v>
      </c>
      <c r="E65" s="16" t="n">
        <f aca="false">הנחות!$B$26*B65*(A65&gt;=הנחות!$B$9)</f>
        <v>0</v>
      </c>
      <c r="F65" s="16" t="n">
        <f aca="false">IF(A65=הנחות!$B$9,הנחות!$B$6,0)</f>
        <v>0</v>
      </c>
      <c r="G65" s="16" t="n">
        <f aca="false">('רכיבי בסיס'!$J$20*(1+הנחות!$B$13)^((A65-1)/12)+'רכיבי בסיס'!$J$19*(1+הנחות!$B$14)^((A65-1)/12)+אופציונליים!$H$22+הנחות!$B$27)*B65*(A65&gt;=הנחות!$B$9)</f>
        <v>0</v>
      </c>
      <c r="H65" s="16" t="n">
        <f aca="false">IF(A65=0,הנחות!$B$8,0)+IF(A65=1,הנחות!$B$7,0)</f>
        <v>0</v>
      </c>
      <c r="I65" s="16" t="n">
        <f aca="false">C65+D65+E65+F65-G65-H65</f>
        <v>0</v>
      </c>
      <c r="J65" s="16" t="n">
        <f aca="false">C65+D65+E65+F65</f>
        <v>0</v>
      </c>
      <c r="K65" s="16" t="n">
        <f aca="false">IF(A65-הנחות!$B$12&gt;=0,INDEX($J$9:$J$69,A65-הנחות!$B$12+1),0)</f>
        <v>0</v>
      </c>
      <c r="L65" s="16" t="n">
        <f aca="false">K65-G65-H65</f>
        <v>0</v>
      </c>
      <c r="M65" s="16" t="n">
        <f aca="false">M64+L65</f>
        <v>242258.499463443</v>
      </c>
    </row>
    <row r="66" customFormat="false" ht="15" hidden="false" customHeight="false" outlineLevel="0" collapsed="false">
      <c r="A66" s="15" t="n">
        <v>57</v>
      </c>
      <c r="B66" s="15" t="n">
        <f aca="false">IF(AND(A66&gt;=1,A66&lt;=הנחות!$B$25),1,0)</f>
        <v>0</v>
      </c>
      <c r="C66" s="16" t="n">
        <f aca="false">'רכיבי בסיס'!$I$18*B66*(A66&gt;=הנחות!$B$9)</f>
        <v>0</v>
      </c>
      <c r="D66" s="16" t="n">
        <f aca="false">אופציונליים!$G$21*B66*(A66&gt;=הנחות!$B$9)</f>
        <v>0</v>
      </c>
      <c r="E66" s="16" t="n">
        <f aca="false">הנחות!$B$26*B66*(A66&gt;=הנחות!$B$9)</f>
        <v>0</v>
      </c>
      <c r="F66" s="16" t="n">
        <f aca="false">IF(A66=הנחות!$B$9,הנחות!$B$6,0)</f>
        <v>0</v>
      </c>
      <c r="G66" s="16" t="n">
        <f aca="false">('רכיבי בסיס'!$J$20*(1+הנחות!$B$13)^((A66-1)/12)+'רכיבי בסיס'!$J$19*(1+הנחות!$B$14)^((A66-1)/12)+אופציונליים!$H$22+הנחות!$B$27)*B66*(A66&gt;=הנחות!$B$9)</f>
        <v>0</v>
      </c>
      <c r="H66" s="16" t="n">
        <f aca="false">IF(A66=0,הנחות!$B$8,0)+IF(A66=1,הנחות!$B$7,0)</f>
        <v>0</v>
      </c>
      <c r="I66" s="16" t="n">
        <f aca="false">C66+D66+E66+F66-G66-H66</f>
        <v>0</v>
      </c>
      <c r="J66" s="16" t="n">
        <f aca="false">C66+D66+E66+F66</f>
        <v>0</v>
      </c>
      <c r="K66" s="16" t="n">
        <f aca="false">IF(A66-הנחות!$B$12&gt;=0,INDEX($J$9:$J$69,A66-הנחות!$B$12+1),0)</f>
        <v>0</v>
      </c>
      <c r="L66" s="16" t="n">
        <f aca="false">K66-G66-H66</f>
        <v>0</v>
      </c>
      <c r="M66" s="16" t="n">
        <f aca="false">M65+L66</f>
        <v>242258.499463443</v>
      </c>
    </row>
    <row r="67" customFormat="false" ht="15" hidden="false" customHeight="false" outlineLevel="0" collapsed="false">
      <c r="A67" s="15" t="n">
        <v>58</v>
      </c>
      <c r="B67" s="15" t="n">
        <f aca="false">IF(AND(A67&gt;=1,A67&lt;=הנחות!$B$25),1,0)</f>
        <v>0</v>
      </c>
      <c r="C67" s="16" t="n">
        <f aca="false">'רכיבי בסיס'!$I$18*B67*(A67&gt;=הנחות!$B$9)</f>
        <v>0</v>
      </c>
      <c r="D67" s="16" t="n">
        <f aca="false">אופציונליים!$G$21*B67*(A67&gt;=הנחות!$B$9)</f>
        <v>0</v>
      </c>
      <c r="E67" s="16" t="n">
        <f aca="false">הנחות!$B$26*B67*(A67&gt;=הנחות!$B$9)</f>
        <v>0</v>
      </c>
      <c r="F67" s="16" t="n">
        <f aca="false">IF(A67=הנחות!$B$9,הנחות!$B$6,0)</f>
        <v>0</v>
      </c>
      <c r="G67" s="16" t="n">
        <f aca="false">('רכיבי בסיס'!$J$20*(1+הנחות!$B$13)^((A67-1)/12)+'רכיבי בסיס'!$J$19*(1+הנחות!$B$14)^((A67-1)/12)+אופציונליים!$H$22+הנחות!$B$27)*B67*(A67&gt;=הנחות!$B$9)</f>
        <v>0</v>
      </c>
      <c r="H67" s="16" t="n">
        <f aca="false">IF(A67=0,הנחות!$B$8,0)+IF(A67=1,הנחות!$B$7,0)</f>
        <v>0</v>
      </c>
      <c r="I67" s="16" t="n">
        <f aca="false">C67+D67+E67+F67-G67-H67</f>
        <v>0</v>
      </c>
      <c r="J67" s="16" t="n">
        <f aca="false">C67+D67+E67+F67</f>
        <v>0</v>
      </c>
      <c r="K67" s="16" t="n">
        <f aca="false">IF(A67-הנחות!$B$12&gt;=0,INDEX($J$9:$J$69,A67-הנחות!$B$12+1),0)</f>
        <v>0</v>
      </c>
      <c r="L67" s="16" t="n">
        <f aca="false">K67-G67-H67</f>
        <v>0</v>
      </c>
      <c r="M67" s="16" t="n">
        <f aca="false">M66+L67</f>
        <v>242258.499463443</v>
      </c>
    </row>
    <row r="68" customFormat="false" ht="15" hidden="false" customHeight="false" outlineLevel="0" collapsed="false">
      <c r="A68" s="15" t="n">
        <v>59</v>
      </c>
      <c r="B68" s="15" t="n">
        <f aca="false">IF(AND(A68&gt;=1,A68&lt;=הנחות!$B$25),1,0)</f>
        <v>0</v>
      </c>
      <c r="C68" s="16" t="n">
        <f aca="false">'רכיבי בסיס'!$I$18*B68*(A68&gt;=הנחות!$B$9)</f>
        <v>0</v>
      </c>
      <c r="D68" s="16" t="n">
        <f aca="false">אופציונליים!$G$21*B68*(A68&gt;=הנחות!$B$9)</f>
        <v>0</v>
      </c>
      <c r="E68" s="16" t="n">
        <f aca="false">הנחות!$B$26*B68*(A68&gt;=הנחות!$B$9)</f>
        <v>0</v>
      </c>
      <c r="F68" s="16" t="n">
        <f aca="false">IF(A68=הנחות!$B$9,הנחות!$B$6,0)</f>
        <v>0</v>
      </c>
      <c r="G68" s="16" t="n">
        <f aca="false">('רכיבי בסיס'!$J$20*(1+הנחות!$B$13)^((A68-1)/12)+'רכיבי בסיס'!$J$19*(1+הנחות!$B$14)^((A68-1)/12)+אופציונליים!$H$22+הנחות!$B$27)*B68*(A68&gt;=הנחות!$B$9)</f>
        <v>0</v>
      </c>
      <c r="H68" s="16" t="n">
        <f aca="false">IF(A68=0,הנחות!$B$8,0)+IF(A68=1,הנחות!$B$7,0)</f>
        <v>0</v>
      </c>
      <c r="I68" s="16" t="n">
        <f aca="false">C68+D68+E68+F68-G68-H68</f>
        <v>0</v>
      </c>
      <c r="J68" s="16" t="n">
        <f aca="false">C68+D68+E68+F68</f>
        <v>0</v>
      </c>
      <c r="K68" s="16" t="n">
        <f aca="false">IF(A68-הנחות!$B$12&gt;=0,INDEX($J$9:$J$69,A68-הנחות!$B$12+1),0)</f>
        <v>0</v>
      </c>
      <c r="L68" s="16" t="n">
        <f aca="false">K68-G68-H68</f>
        <v>0</v>
      </c>
      <c r="M68" s="16" t="n">
        <f aca="false">M67+L68</f>
        <v>242258.499463443</v>
      </c>
    </row>
    <row r="69" customFormat="false" ht="15" hidden="false" customHeight="false" outlineLevel="0" collapsed="false">
      <c r="A69" s="15" t="n">
        <v>60</v>
      </c>
      <c r="B69" s="15" t="n">
        <f aca="false">IF(AND(A69&gt;=1,A69&lt;=הנחות!$B$25),1,0)</f>
        <v>0</v>
      </c>
      <c r="C69" s="16" t="n">
        <f aca="false">'רכיבי בסיס'!$I$18*B69*(A69&gt;=הנחות!$B$9)</f>
        <v>0</v>
      </c>
      <c r="D69" s="16" t="n">
        <f aca="false">אופציונליים!$G$21*B69*(A69&gt;=הנחות!$B$9)</f>
        <v>0</v>
      </c>
      <c r="E69" s="16" t="n">
        <f aca="false">הנחות!$B$26*B69*(A69&gt;=הנחות!$B$9)</f>
        <v>0</v>
      </c>
      <c r="F69" s="16" t="n">
        <f aca="false">IF(A69=הנחות!$B$9,הנחות!$B$6,0)</f>
        <v>0</v>
      </c>
      <c r="G69" s="16" t="n">
        <f aca="false">('רכיבי בסיס'!$J$20*(1+הנחות!$B$13)^((A69-1)/12)+'רכיבי בסיס'!$J$19*(1+הנחות!$B$14)^((A69-1)/12)+אופציונליים!$H$22+הנחות!$B$27)*B69*(A69&gt;=הנחות!$B$9)</f>
        <v>0</v>
      </c>
      <c r="H69" s="16" t="n">
        <f aca="false">IF(A69=0,הנחות!$B$8,0)+IF(A69=1,הנחות!$B$7,0)</f>
        <v>0</v>
      </c>
      <c r="I69" s="16" t="n">
        <f aca="false">C69+D69+E69+F69-G69-H69</f>
        <v>0</v>
      </c>
      <c r="J69" s="16" t="n">
        <f aca="false">C69+D69+E69+F69</f>
        <v>0</v>
      </c>
      <c r="K69" s="16" t="n">
        <f aca="false">IF(A69-הנחות!$B$12&gt;=0,INDEX($J$9:$J$69,A69-הנחות!$B$12+1),0)</f>
        <v>0</v>
      </c>
      <c r="L69" s="16" t="n">
        <f aca="false">K69-G69-H69</f>
        <v>0</v>
      </c>
      <c r="M69" s="16" t="n">
        <f aca="false">M68+L69</f>
        <v>242258.499463443</v>
      </c>
    </row>
    <row r="71" customFormat="false" ht="15" hidden="false" customHeight="false" outlineLevel="0" collapsed="false">
      <c r="A71" s="14" t="s">
        <v>192</v>
      </c>
    </row>
  </sheetData>
  <mergeCells count="7">
    <mergeCell ref="A2:B2"/>
    <mergeCell ref="F2:G2"/>
    <mergeCell ref="A3:B3"/>
    <mergeCell ref="F3:G3"/>
    <mergeCell ref="A4:B4"/>
    <mergeCell ref="F4:G4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193</v>
      </c>
    </row>
    <row r="3" customFormat="false" ht="48" hidden="false" customHeight="true" outlineLevel="0" collapsed="false">
      <c r="A3" s="7" t="s">
        <v>194</v>
      </c>
      <c r="B3" s="7" t="s">
        <v>15</v>
      </c>
      <c r="C3" s="7" t="s">
        <v>107</v>
      </c>
      <c r="D3" s="7" t="s">
        <v>195</v>
      </c>
    </row>
    <row r="4" customFormat="false" ht="36" hidden="false" customHeight="true" outlineLevel="0" collapsed="false">
      <c r="A4" s="8" t="s">
        <v>88</v>
      </c>
      <c r="B4" s="8" t="s">
        <v>196</v>
      </c>
      <c r="C4" s="8" t="s">
        <v>197</v>
      </c>
      <c r="D4" s="8" t="s">
        <v>198</v>
      </c>
    </row>
    <row r="5" customFormat="false" ht="36" hidden="false" customHeight="true" outlineLevel="0" collapsed="false">
      <c r="A5" s="8" t="s">
        <v>108</v>
      </c>
      <c r="B5" s="8" t="s">
        <v>199</v>
      </c>
      <c r="C5" s="8" t="s">
        <v>200</v>
      </c>
      <c r="D5" s="8" t="s">
        <v>201</v>
      </c>
    </row>
    <row r="6" customFormat="false" ht="36" hidden="false" customHeight="true" outlineLevel="0" collapsed="false">
      <c r="A6" s="8" t="s">
        <v>202</v>
      </c>
      <c r="B6" s="8" t="s">
        <v>203</v>
      </c>
      <c r="C6" s="8" t="s">
        <v>204</v>
      </c>
      <c r="D6" s="8" t="s">
        <v>205</v>
      </c>
    </row>
    <row r="7" customFormat="false" ht="36" hidden="false" customHeight="true" outlineLevel="0" collapsed="false">
      <c r="A7" s="8" t="s">
        <v>206</v>
      </c>
      <c r="B7" s="8" t="s">
        <v>207</v>
      </c>
      <c r="C7" s="8" t="s">
        <v>208</v>
      </c>
      <c r="D7" s="8" t="s">
        <v>209</v>
      </c>
    </row>
    <row r="8" customFormat="false" ht="36" hidden="false" customHeight="true" outlineLevel="0" collapsed="false">
      <c r="A8" s="8" t="s">
        <v>210</v>
      </c>
      <c r="B8" s="8" t="s">
        <v>211</v>
      </c>
      <c r="C8" s="8" t="s">
        <v>212</v>
      </c>
      <c r="D8" s="8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62"/>
  </cols>
  <sheetData>
    <row r="1" customFormat="false" ht="17.15" hidden="false" customHeight="false" outlineLevel="0" collapsed="false">
      <c r="A1" s="6" t="s">
        <v>214</v>
      </c>
    </row>
    <row r="3" customFormat="false" ht="48" hidden="false" customHeight="true" outlineLevel="0" collapsed="false">
      <c r="A3" s="7" t="s">
        <v>215</v>
      </c>
      <c r="B3" s="7" t="s">
        <v>216</v>
      </c>
      <c r="C3" s="7" t="s">
        <v>217</v>
      </c>
      <c r="D3" s="7" t="s">
        <v>218</v>
      </c>
      <c r="E3" s="7" t="s">
        <v>107</v>
      </c>
    </row>
    <row r="4" customFormat="false" ht="30" hidden="false" customHeight="true" outlineLevel="0" collapsed="false">
      <c r="A4" s="8" t="s">
        <v>219</v>
      </c>
      <c r="B4" s="20" t="n">
        <v>0.2</v>
      </c>
      <c r="C4" s="11" t="n">
        <v>3</v>
      </c>
      <c r="D4" s="35" t="n">
        <f aca="false">B4*C4</f>
        <v>0.6</v>
      </c>
      <c r="E4" s="8" t="s">
        <v>220</v>
      </c>
    </row>
    <row r="5" customFormat="false" ht="30" hidden="false" customHeight="true" outlineLevel="0" collapsed="false">
      <c r="A5" s="8" t="s">
        <v>221</v>
      </c>
      <c r="B5" s="20" t="n">
        <v>0.2</v>
      </c>
      <c r="C5" s="11" t="n">
        <v>3</v>
      </c>
      <c r="D5" s="35" t="n">
        <f aca="false">B5*C5</f>
        <v>0.6</v>
      </c>
      <c r="E5" s="8" t="s">
        <v>222</v>
      </c>
    </row>
    <row r="6" customFormat="false" ht="30" hidden="false" customHeight="true" outlineLevel="0" collapsed="false">
      <c r="A6" s="8" t="s">
        <v>223</v>
      </c>
      <c r="B6" s="20" t="n">
        <v>0.15</v>
      </c>
      <c r="C6" s="11" t="n">
        <v>4</v>
      </c>
      <c r="D6" s="35" t="n">
        <f aca="false">B6*C6</f>
        <v>0.6</v>
      </c>
      <c r="E6" s="8" t="s">
        <v>224</v>
      </c>
    </row>
    <row r="7" customFormat="false" ht="30" hidden="false" customHeight="true" outlineLevel="0" collapsed="false">
      <c r="A7" s="8" t="s">
        <v>225</v>
      </c>
      <c r="B7" s="20" t="n">
        <v>0.15</v>
      </c>
      <c r="C7" s="11" t="n">
        <v>2</v>
      </c>
      <c r="D7" s="35" t="n">
        <f aca="false">B7*C7</f>
        <v>0.3</v>
      </c>
      <c r="E7" s="8" t="s">
        <v>226</v>
      </c>
    </row>
    <row r="8" customFormat="false" ht="30" hidden="false" customHeight="true" outlineLevel="0" collapsed="false">
      <c r="A8" s="8" t="s">
        <v>227</v>
      </c>
      <c r="B8" s="20" t="n">
        <v>0.15</v>
      </c>
      <c r="C8" s="11" t="n">
        <v>3</v>
      </c>
      <c r="D8" s="35" t="n">
        <f aca="false">B8*C8</f>
        <v>0.45</v>
      </c>
      <c r="E8" s="8" t="s">
        <v>228</v>
      </c>
    </row>
    <row r="9" customFormat="false" ht="30" hidden="false" customHeight="true" outlineLevel="0" collapsed="false">
      <c r="A9" s="8" t="s">
        <v>229</v>
      </c>
      <c r="B9" s="20" t="n">
        <v>0.1</v>
      </c>
      <c r="C9" s="11" t="n">
        <v>2</v>
      </c>
      <c r="D9" s="35" t="n">
        <f aca="false">B9*C9</f>
        <v>0.2</v>
      </c>
      <c r="E9" s="8" t="s">
        <v>230</v>
      </c>
    </row>
    <row r="10" customFormat="false" ht="30" hidden="false" customHeight="true" outlineLevel="0" collapsed="false">
      <c r="A10" s="8" t="s">
        <v>231</v>
      </c>
      <c r="B10" s="20" t="n">
        <v>0.05</v>
      </c>
      <c r="C10" s="11" t="n">
        <v>3</v>
      </c>
      <c r="D10" s="35" t="n">
        <f aca="false">B10*C10</f>
        <v>0.15</v>
      </c>
      <c r="E10" s="8" t="s">
        <v>232</v>
      </c>
    </row>
    <row r="12" customFormat="false" ht="15" hidden="false" customHeight="false" outlineLevel="0" collapsed="false">
      <c r="A12" s="13" t="s">
        <v>233</v>
      </c>
      <c r="B12" s="26" t="n">
        <f aca="false">SUM(B4:B10)</f>
        <v>1</v>
      </c>
      <c r="D12" s="36" t="n">
        <f aca="false">SUM(D4:D10)</f>
        <v>2.9</v>
      </c>
      <c r="E12" s="13" t="str">
        <f aca="false">IF(C4&lt;3,"לא להגיש – תנאי סף",IF(D12&gt;=3.5,"להגיש",IF(D12&gt;=2.75,"להגיש בתנאים – לפי תשובות ההבהרה","לא להגיש")))</f>
        <v>להגיש בתנאים – לפי תשובות ההבהרה</v>
      </c>
    </row>
    <row r="13" customFormat="false" ht="15" hidden="false" customHeight="false" outlineLevel="0" collapsed="false">
      <c r="A13" s="14" t="s">
        <v>234</v>
      </c>
      <c r="D13" s="28" t="n">
        <f aca="false">תזרים!C2</f>
        <v>180151.478249329</v>
      </c>
    </row>
    <row r="14" customFormat="false" ht="15" hidden="false" customHeight="false" outlineLevel="0" collapsed="false">
      <c r="A14" s="14" t="s">
        <v>235</v>
      </c>
      <c r="D14" s="37" t="str">
        <f aca="false">IF('ניקוד ותחרות'!N5&lt;&gt;"","HOT","מתחרה")</f>
        <v>מתחרה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2026-10-13T20:08:39Z</dcterms:created>
  <dc:creator>openpyxl</dc:creator>
  <dc:description/>
  <dc:language>en-US</dc:language>
  <cp:lastModifiedBy/>
  <dcterms:modified xsi:type="dcterms:W3CDTF">2026-10-13T20:08:40Z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