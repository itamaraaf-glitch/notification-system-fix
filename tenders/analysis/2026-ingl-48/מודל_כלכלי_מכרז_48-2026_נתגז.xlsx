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קרא" sheetId="1" state="visible" r:id="rId3"/>
    <sheet name="הנחות" sheetId="2" state="visible" r:id="rId4"/>
    <sheet name="כתב כמויות" sheetId="3" state="visible" r:id="rId5"/>
    <sheet name="ניקוד ותחרות" sheetId="4" state="visible" r:id="rId6"/>
    <sheet name="רווחיות" sheetId="5" state="visible" r:id="rId7"/>
    <sheet name="תזרים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4" authorId="0">
      <text>
        <r>
          <rPr>
            <sz val="10"/>
            <rFont val="FreeSans"/>
            <family val="2"/>
          </rPr>
          <t xml:space="preserve">כולל </t>
        </r>
        <r>
          <rPr>
            <sz val="10"/>
            <rFont val="Arial"/>
            <family val="2"/>
          </rPr>
          <t xml:space="preserve">250 ₪ חומרים (קואקס, תושבות) למתקן.</t>
        </r>
      </text>
    </comment>
  </commentList>
</comments>
</file>

<file path=xl/sharedStrings.xml><?xml version="1.0" encoding="utf-8"?>
<sst xmlns="http://schemas.openxmlformats.org/spreadsheetml/2006/main" count="151" uniqueCount="133">
  <si>
    <t xml:space="preserve">מודל כלכלי – נתג"ז INGL/TENDER/2026/48: אספקה, התקנה ותחזוקה של נתבים ומתגים Cisco</t>
  </si>
  <si>
    <t xml:space="preserve">ניקוד: מחיר 60 (60 × הזולה / הנבדקת, על סך כל הפריטים; רכיבים בדולר מומרים בשער היציג ביום ההגשה), איכות 40 (מוסף 1). אין ערבויות. תשלום שוטף + 45. אחריות ותחזוקה 60 חודשים – אין לה סעיף בכתב הכמויות, לכן היא נטענת על מחירי הפריטים.</t>
  </si>
  <si>
    <t xml:space="preserve">מוסכמות: כחול = קלט. צהוב = הנחה לאמת. שחור = נוסחה. ירוק = קישור. אדום = הפסד.</t>
  </si>
  <si>
    <t xml:space="preserve">מחירי המחירון (GPL) בגיליון "כתב כמויות" הם הערכה גסה לחבילת המקטים של כל פריט – להחליף בהצעת מפיץ Cisco (Deal Registration).</t>
  </si>
  <si>
    <t xml:space="preserve">גיליונות:</t>
  </si>
  <si>
    <t xml:space="preserve">הנחות – שער דולר, הנחת קנייה מהמפיץ, הנחה מוצעת לנתג"ז, עלויות עבודה, רזרבת אחזקה.</t>
  </si>
  <si>
    <t xml:space="preserve">כתב כמויות – 16 הפריטים: כמות, מחיר מחירון, עלות, מחיר מוצע, מרווח.</t>
  </si>
  <si>
    <t xml:space="preserve">ניקוד ותחרות – ציון מחיר ואיכות מול מתחרה, מחיר מרבי לשוויון, שווי נקודה, טבלת רגישות להנחה.</t>
  </si>
  <si>
    <t xml:space="preserve">רווחיות – הכנסה, עלויות (כולל 60 חודשי אחזקה), רווח.</t>
  </si>
  <si>
    <t xml:space="preserve">תזרים – 66 חודשים: רכישה מראש, תקבולים בשוטף + 45, עלות אחזקה חודשית.</t>
  </si>
  <si>
    <t xml:space="preserve">הנחות</t>
  </si>
  <si>
    <t xml:space="preserve">הנחה</t>
  </si>
  <si>
    <t xml:space="preserve">ערך</t>
  </si>
  <si>
    <t xml:space="preserve">הסבר</t>
  </si>
  <si>
    <t xml:space="preserve">שער דולר יציג (₪)</t>
  </si>
  <si>
    <t xml:space="preserve">השוואת ההצעות לפי השער היציג במועד האחרון להגשה (13.12.2026). התשלום – לפי השער ביום ההזמנה.</t>
  </si>
  <si>
    <t xml:space="preserve">הנחת קנייה מהמפיץ (מ-GPL)</t>
  </si>
  <si>
    <t xml:space="preserve">הערכה – תלויה ברישום העסקה (Deal Registration) ובדרגת השותף. לאמת מול המפיץ.</t>
  </si>
  <si>
    <t xml:space="preserve">הנחה מוצעת לנתג"ז (מ-GPL)</t>
  </si>
  <si>
    <t xml:space="preserve">הקלט המרכזי לתחרות. כל המתחרים קונים מאותם מפיצים – הפער ביניהם הוא בעיקר ברישום העסקה.</t>
  </si>
  <si>
    <t xml:space="preserve">תוספת רווח על עלות השירותים</t>
  </si>
  <si>
    <t xml:space="preserve">עלות יום טכנאי שטח (₪)</t>
  </si>
  <si>
    <t xml:space="preserve">כולל רכב ונסיעות לאתרים מדימונה עד חיפה.</t>
  </si>
  <si>
    <t xml:space="preserve">עלות יום מהנדס רשת / אבטחה (₪)</t>
  </si>
  <si>
    <t xml:space="preserve">עלות יום מהנדס CCIE (₪)</t>
  </si>
  <si>
    <t xml:space="preserve">ייתכן קבלן משנה – שאלת הבהרה 21.</t>
  </si>
  <si>
    <t xml:space="preserve">עלות חודשית לאחזקה 24/7 בשטח (₪)</t>
  </si>
  <si>
    <t xml:space="preserve">אין סעיף אחזקה בכתב הכמויות: כוננות, הגעה לאתרים, טיפול בתקלות – 60 חודשים. מקטי תמיכת היצרן כלולים במחיר הרכיבים.</t>
  </si>
  <si>
    <t xml:space="preserve">חודשי אחזקה</t>
  </si>
  <si>
    <t xml:space="preserve">מפרט 2.3.</t>
  </si>
  <si>
    <t xml:space="preserve">מרווח ביטחון על עלות השירותים</t>
  </si>
  <si>
    <t xml:space="preserve">גישה לאתרים, היתרים, ליווי, עבודה בגובה.</t>
  </si>
  <si>
    <t xml:space="preserve">פיגור תשלום (חודשים)</t>
  </si>
  <si>
    <t xml:space="preserve">שוטף + 45 מקבלת החשבון + אישור הממונה.</t>
  </si>
  <si>
    <t xml:space="preserve">שיעור היוון שנתי</t>
  </si>
  <si>
    <t xml:space="preserve">חודש אספקת הציוד</t>
  </si>
  <si>
    <t xml:space="preserve">הערכה – זמני אספקה של Cisco (שאלת הבהרה 5).</t>
  </si>
  <si>
    <t xml:space="preserve">משך ההתקנות (חודשים)</t>
  </si>
  <si>
    <t xml:space="preserve">60 מתקנים, עד 3 ביום, בתיאום עם החברה.</t>
  </si>
  <si>
    <t xml:space="preserve">כתב כמויות – מחיר מחירון, עלות ומחיר מוצע</t>
  </si>
  <si>
    <r>
      <rPr>
        <sz val="11"/>
        <color theme="1"/>
        <rFont val="FreeSans"/>
        <family val="2"/>
      </rPr>
      <t xml:space="preserve">רכיבים</t>
    </r>
    <r>
      <rPr>
        <sz val="11"/>
        <color theme="1"/>
        <rFont val="Calibri"/>
        <family val="2"/>
        <charset val="1"/>
      </rPr>
      <t xml:space="preserve">: E = </t>
    </r>
    <r>
      <rPr>
        <sz val="11"/>
        <color theme="1"/>
        <rFont val="FreeSans"/>
        <family val="2"/>
      </rPr>
      <t xml:space="preserve">מחיר מחירון </t>
    </r>
    <r>
      <rPr>
        <sz val="11"/>
        <color theme="1"/>
        <rFont val="Calibri"/>
        <family val="2"/>
        <charset val="1"/>
      </rPr>
      <t xml:space="preserve">(GPL) </t>
    </r>
    <r>
      <rPr>
        <sz val="11"/>
        <color theme="1"/>
        <rFont val="FreeSans"/>
        <family val="2"/>
      </rPr>
      <t xml:space="preserve">ליחידה בדולר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שירותים</t>
    </r>
    <r>
      <rPr>
        <sz val="11"/>
        <color theme="1"/>
        <rFont val="Calibri"/>
        <family val="2"/>
        <charset val="1"/>
      </rPr>
      <t xml:space="preserve">: E = </t>
    </r>
    <r>
      <rPr>
        <sz val="11"/>
        <color theme="1"/>
        <rFont val="FreeSans"/>
        <family val="2"/>
      </rPr>
      <t xml:space="preserve">ימי עבודה ליחידה</t>
    </r>
    <r>
      <rPr>
        <sz val="11"/>
        <color theme="1"/>
        <rFont val="Calibri"/>
        <family val="2"/>
        <charset val="1"/>
      </rPr>
      <t xml:space="preserve">; F/G </t>
    </r>
    <r>
      <rPr>
        <sz val="11"/>
        <color theme="1"/>
        <rFont val="FreeSans"/>
        <family val="2"/>
      </rPr>
      <t xml:space="preserve">בשקלים</t>
    </r>
    <r>
      <rPr>
        <sz val="11"/>
        <color theme="1"/>
        <rFont val="Calibri"/>
        <family val="2"/>
        <charset val="1"/>
      </rPr>
      <t xml:space="preserve">.</t>
    </r>
  </si>
  <si>
    <t xml:space="preserve">#</t>
  </si>
  <si>
    <t xml:space="preserve">פריט</t>
  </si>
  <si>
    <t xml:space="preserve">סוג</t>
  </si>
  <si>
    <t xml:space="preserve">כמות</t>
  </si>
  <si>
    <t xml:space="preserve">GPL $ / ימים ליחידה</t>
  </si>
  <si>
    <t xml:space="preserve">עלות ליחידה</t>
  </si>
  <si>
    <t xml:space="preserve">מחיר מוצע ליחידה</t>
  </si>
  <si>
    <t xml:space="preserve">סה"כ מחיר (₪)</t>
  </si>
  <si>
    <t xml:space="preserve">סה"כ עלות (₪)</t>
  </si>
  <si>
    <t xml:space="preserve">מרווח</t>
  </si>
  <si>
    <t xml:space="preserve">הערה (הערכה – לאמת)</t>
  </si>
  <si>
    <t xml:space="preserve">מתג IE3500 8 פורטים + Network Advantage + SD + תמיכה</t>
  </si>
  <si>
    <t xml:space="preserve">רכיב</t>
  </si>
  <si>
    <t xml:space="preserve">חבילת 9 מקטים.</t>
  </si>
  <si>
    <t xml:space="preserve">מודול הרחבה IEM-3500-16T + תמיכה</t>
  </si>
  <si>
    <t xml:space="preserve">נתב IR1101-K9 + Network Essentials + אנטנות + קיט</t>
  </si>
  <si>
    <t xml:space="preserve">חבילת 16 מקטים.</t>
  </si>
  <si>
    <t xml:space="preserve">יחידת 5G RedCap (P-5GS6-RC-GL)</t>
  </si>
  <si>
    <t xml:space="preserve">הרחבת SSD לאחסון לוגים (IRM-1100-SPMI + 100G)</t>
  </si>
  <si>
    <t xml:space="preserve">ISE – רישוי מכונה וירטואלית (R-ISE-VMC-K9)</t>
  </si>
  <si>
    <t xml:space="preserve">אין חומרה בכתב הכמויות – שאלת הבהרה 19.</t>
  </si>
  <si>
    <t xml:space="preserve">ISE Advantage (מנוי, לנקודת קצה)</t>
  </si>
  <si>
    <t xml:space="preserve">משך המנוי לא מוגדר – שאלת הבהרה 15.</t>
  </si>
  <si>
    <t xml:space="preserve">ISE PLR – רישוי לסביבה מנותקת</t>
  </si>
  <si>
    <t xml:space="preserve">Cyber Vision Advantage, 5 שנים (לנכס)</t>
  </si>
  <si>
    <t xml:space="preserve">אין פריט ל-Cyber Vision Center – שאלת הבהרה 20.</t>
  </si>
  <si>
    <t xml:space="preserve">התקנת נתב במתקן (מעבדה + שטח)</t>
  </si>
  <si>
    <t xml:space="preserve">שירות</t>
  </si>
  <si>
    <t xml:space="preserve">טכנאי שטח + טכנאי באתר הראשי, 3 התקנות ביום (מפרט 3.2.2).</t>
  </si>
  <si>
    <t xml:space="preserve">התקנת 2 אנטנות חיצוניות במתקן</t>
  </si>
  <si>
    <t xml:space="preserve">עבודה בגובה, 2 × 15 מ' קואקס; חומרים בנפרד – ראו הערה.</t>
  </si>
  <si>
    <t xml:space="preserve">התקנה והטמעת ISE (Cluster, Profiling, MAB, Micro-segmentation)</t>
  </si>
  <si>
    <t xml:space="preserve">התקנה והטמעת Cyber Vision</t>
  </si>
  <si>
    <t xml:space="preserve">התקנת 2 מתגים במתקן + חיבור Sensor</t>
  </si>
  <si>
    <t xml:space="preserve">איש רשת + איש אבטחת מידע (מפרט 3.4.2).</t>
  </si>
  <si>
    <t xml:space="preserve">מסמכי HLD + LLD + תיקי אתר (CCIE)</t>
  </si>
  <si>
    <t xml:space="preserve">ניהול פרויקט (קומפלט)</t>
  </si>
  <si>
    <t xml:space="preserve">כ-25% משרה לאורך כ-6 חודשים.</t>
  </si>
  <si>
    <t xml:space="preserve">סה"כ רכיבים</t>
  </si>
  <si>
    <t xml:space="preserve">סה"כ שירותים</t>
  </si>
  <si>
    <t xml:space="preserve">סה"כ הצעה (₪) – הבסיס לציון המחיר</t>
  </si>
  <si>
    <t xml:space="preserve">נתח הרכיבים מסך ההצעה</t>
  </si>
  <si>
    <t xml:space="preserve">ניקוד ותחרות</t>
  </si>
  <si>
    <t xml:space="preserve">מרבי</t>
  </si>
  <si>
    <t xml:space="preserve">HOT</t>
  </si>
  <si>
    <t xml:space="preserve">מתחרה</t>
  </si>
  <si>
    <t xml:space="preserve">הערה</t>
  </si>
  <si>
    <t xml:space="preserve">הנחת המתחרה מ-GPL (רכיבים)</t>
  </si>
  <si>
    <t xml:space="preserve">שותף עם רישוי עסקה (Deal Registration) מקבל הנחה גבוהה יותר.</t>
  </si>
  <si>
    <t xml:space="preserve">מחיר השירותים של המתחרה ביחס לשלנו</t>
  </si>
  <si>
    <t xml:space="preserve">סך ההצעה (₪)</t>
  </si>
  <si>
    <t xml:space="preserve">ציון מחיר</t>
  </si>
  <si>
    <t xml:space="preserve">הסמכת Preferred Security Partner (א)</t>
  </si>
  <si>
    <t xml:space="preserve">לא ידוע אם ל-HOT יש – שאלה פנימית.</t>
  </si>
  <si>
    <t xml:space="preserve">פרויקטי Cyber Vision מעבר לראשון (ב) – 2.5 לפרויקט</t>
  </si>
  <si>
    <t xml:space="preserve">עובדי CCNA (ג) – 11–20: 5; 21–30: 7.5; 31+: 10</t>
  </si>
  <si>
    <t xml:space="preserve">עובדי CCST (ג) – 3–5: 2.5; 6–8: 5; 9–11: 7.5; 12+: 10</t>
  </si>
  <si>
    <t xml:space="preserve">ציון כולל</t>
  </si>
  <si>
    <t xml:space="preserve">פער (HOT פחות מתחרה)</t>
  </si>
  <si>
    <t xml:space="preserve">הצעה מרבית של HOT לשוויון ציונים (₪)</t>
  </si>
  <si>
    <t xml:space="preserve">אם הערך נמוך מהעלות (גיליון רווחיות) – אין דרך לנצח במחיר בלבד.</t>
  </si>
  <si>
    <t xml:space="preserve">שווי נקודת איכות אחת בהצעה (₪)</t>
  </si>
  <si>
    <t xml:space="preserve">כמה ₪ צריך להוריד מההצעה כדי לפצות על נקודה אחת.</t>
  </si>
  <si>
    <t xml:space="preserve">רגישות: הנחה מוצעת מ-GPL</t>
  </si>
  <si>
    <t xml:space="preserve">הנחה מוצעת</t>
  </si>
  <si>
    <t xml:space="preserve">סך הצעה (₪)</t>
  </si>
  <si>
    <t xml:space="preserve">ציון כולל HOT</t>
  </si>
  <si>
    <t xml:space="preserve">רווח לפני אחזקה (₪)</t>
  </si>
  <si>
    <t xml:space="preserve">רווחיות לכל ההתקשרות</t>
  </si>
  <si>
    <t xml:space="preserve">סעיף</t>
  </si>
  <si>
    <t xml:space="preserve">₪</t>
  </si>
  <si>
    <t xml:space="preserve">הכנסה – רכיבים</t>
  </si>
  <si>
    <t xml:space="preserve">הכנסה – שירותים</t>
  </si>
  <si>
    <t xml:space="preserve">סה"כ הכנסה</t>
  </si>
  <si>
    <t xml:space="preserve">עלות רכיבים</t>
  </si>
  <si>
    <t xml:space="preserve">בדולר – חשיפה לשער עד מועד הרכישה.</t>
  </si>
  <si>
    <t xml:space="preserve">עלות שירותים</t>
  </si>
  <si>
    <t xml:space="preserve">אחזקה 24/7 ל-60 חודשים</t>
  </si>
  <si>
    <t xml:space="preserve">אין עליה תמורה נפרדת.</t>
  </si>
  <si>
    <t xml:space="preserve">סה"כ עלות</t>
  </si>
  <si>
    <t xml:space="preserve">רווח</t>
  </si>
  <si>
    <t xml:space="preserve">תזרים חודשי (66 חודשים)</t>
  </si>
  <si>
    <t xml:space="preserve">NPV</t>
  </si>
  <si>
    <t xml:space="preserve">חשיפת מזומנים מרבית</t>
  </si>
  <si>
    <t xml:space="preserve">הנחה: הציוד משולם למפיץ חודש לפני האספקה; חשבון רכיבים באספקה; שירותים בחלקים שווים לאורך ההתקנות; תקבול אחרי פיגור התשלום; אחזקה מחודש האספקה.</t>
  </si>
  <si>
    <t xml:space="preserve">חודש</t>
  </si>
  <si>
    <t xml:space="preserve">חשבון רכיבים</t>
  </si>
  <si>
    <t xml:space="preserve">חשבון שירותים</t>
  </si>
  <si>
    <t xml:space="preserve">תקבול</t>
  </si>
  <si>
    <t xml:space="preserve">תשלום לספקים ועבודה</t>
  </si>
  <si>
    <t xml:space="preserve">תזרים נטו</t>
  </si>
  <si>
    <t xml:space="preserve">מצטבר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</si>
</sst>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;\(0.0%\);\-"/>
    <numFmt numFmtId="167" formatCode="#,##0&quot; ₪&quot;;\(#,##0&quot; ₪)&quot;;\-"/>
    <numFmt numFmtId="168" formatCode="0"/>
    <numFmt numFmtId="169" formatCode="0.0"/>
    <numFmt numFmtId="170" formatCode="#,##0;\(#,##0\);\-"/>
    <numFmt numFmtId="171" formatCode="\$#,##0;&quot;($&quot;#,##0\);\-"/>
    <numFmt numFmtId="172" formatCode="0.00;[RED]\-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FreeSans"/>
      <family val="2"/>
    </font>
    <font>
      <sz val="10"/>
      <name val="Free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26.8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5" t="s">
        <v>10</v>
      </c>
    </row>
    <row r="3" customFormat="false" ht="45" hidden="false" customHeight="true" outlineLevel="0" collapsed="false">
      <c r="A3" s="6" t="s">
        <v>11</v>
      </c>
      <c r="B3" s="6" t="s">
        <v>12</v>
      </c>
      <c r="C3" s="6" t="s">
        <v>13</v>
      </c>
    </row>
    <row r="4" customFormat="false" ht="30" hidden="false" customHeight="true" outlineLevel="0" collapsed="false">
      <c r="A4" s="7" t="s">
        <v>14</v>
      </c>
      <c r="B4" s="8" t="n">
        <v>3.65</v>
      </c>
      <c r="C4" s="7" t="s">
        <v>15</v>
      </c>
    </row>
    <row r="5" customFormat="false" ht="30" hidden="false" customHeight="true" outlineLevel="0" collapsed="false">
      <c r="A5" s="7" t="s">
        <v>16</v>
      </c>
      <c r="B5" s="9" t="n">
        <v>0.45</v>
      </c>
      <c r="C5" s="7" t="s">
        <v>17</v>
      </c>
    </row>
    <row r="6" customFormat="false" ht="30" hidden="false" customHeight="true" outlineLevel="0" collapsed="false">
      <c r="A6" s="7" t="s">
        <v>18</v>
      </c>
      <c r="B6" s="9" t="n">
        <v>0.35</v>
      </c>
      <c r="C6" s="7" t="s">
        <v>19</v>
      </c>
    </row>
    <row r="7" customFormat="false" ht="30" hidden="false" customHeight="true" outlineLevel="0" collapsed="false">
      <c r="A7" s="7" t="s">
        <v>20</v>
      </c>
      <c r="B7" s="9" t="n">
        <v>0.3</v>
      </c>
      <c r="C7" s="7"/>
    </row>
    <row r="8" customFormat="false" ht="30" hidden="false" customHeight="true" outlineLevel="0" collapsed="false">
      <c r="A8" s="7" t="s">
        <v>21</v>
      </c>
      <c r="B8" s="10" t="n">
        <v>1800</v>
      </c>
      <c r="C8" s="7" t="s">
        <v>22</v>
      </c>
    </row>
    <row r="9" customFormat="false" ht="30" hidden="false" customHeight="true" outlineLevel="0" collapsed="false">
      <c r="A9" s="7" t="s">
        <v>23</v>
      </c>
      <c r="B9" s="10" t="n">
        <v>2600</v>
      </c>
      <c r="C9" s="7"/>
    </row>
    <row r="10" customFormat="false" ht="30" hidden="false" customHeight="true" outlineLevel="0" collapsed="false">
      <c r="A10" s="7" t="s">
        <v>24</v>
      </c>
      <c r="B10" s="10" t="n">
        <v>4000</v>
      </c>
      <c r="C10" s="7" t="s">
        <v>25</v>
      </c>
    </row>
    <row r="11" customFormat="false" ht="30" hidden="false" customHeight="true" outlineLevel="0" collapsed="false">
      <c r="A11" s="7" t="s">
        <v>26</v>
      </c>
      <c r="B11" s="10" t="n">
        <v>3000</v>
      </c>
      <c r="C11" s="7" t="s">
        <v>27</v>
      </c>
    </row>
    <row r="12" customFormat="false" ht="30" hidden="false" customHeight="true" outlineLevel="0" collapsed="false">
      <c r="A12" s="7" t="s">
        <v>28</v>
      </c>
      <c r="B12" s="11" t="n">
        <v>60</v>
      </c>
      <c r="C12" s="7" t="s">
        <v>29</v>
      </c>
    </row>
    <row r="13" customFormat="false" ht="30" hidden="false" customHeight="true" outlineLevel="0" collapsed="false">
      <c r="A13" s="7" t="s">
        <v>30</v>
      </c>
      <c r="B13" s="9" t="n">
        <v>0.1</v>
      </c>
      <c r="C13" s="7" t="s">
        <v>31</v>
      </c>
    </row>
    <row r="14" customFormat="false" ht="30" hidden="false" customHeight="true" outlineLevel="0" collapsed="false">
      <c r="A14" s="7" t="s">
        <v>32</v>
      </c>
      <c r="B14" s="12" t="n">
        <v>2.5</v>
      </c>
      <c r="C14" s="7" t="s">
        <v>33</v>
      </c>
    </row>
    <row r="15" customFormat="false" ht="30" hidden="false" customHeight="true" outlineLevel="0" collapsed="false">
      <c r="A15" s="7" t="s">
        <v>34</v>
      </c>
      <c r="B15" s="9" t="n">
        <v>0.08</v>
      </c>
      <c r="C15" s="7"/>
    </row>
    <row r="16" customFormat="false" ht="30" hidden="false" customHeight="true" outlineLevel="0" collapsed="false">
      <c r="A16" s="7" t="s">
        <v>35</v>
      </c>
      <c r="B16" s="11" t="n">
        <v>4</v>
      </c>
      <c r="C16" s="7" t="s">
        <v>36</v>
      </c>
    </row>
    <row r="17" customFormat="false" ht="30" hidden="false" customHeight="true" outlineLevel="0" collapsed="false">
      <c r="A17" s="7" t="s">
        <v>37</v>
      </c>
      <c r="B17" s="11" t="n">
        <v>6</v>
      </c>
      <c r="C17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7" min="5" style="0" width="13"/>
    <col collapsed="false" customWidth="true" hidden="false" outlineLevel="0" max="9" min="8" style="0" width="15"/>
    <col collapsed="false" customWidth="true" hidden="false" outlineLevel="0" max="10" min="10" style="0" width="10"/>
    <col collapsed="false" customWidth="true" hidden="false" outlineLevel="0" max="11" min="11" style="0" width="46"/>
  </cols>
  <sheetData>
    <row r="1" customFormat="false" ht="17.15" hidden="false" customHeight="false" outlineLevel="0" collapsed="false">
      <c r="A1" s="5" t="s">
        <v>39</v>
      </c>
    </row>
    <row r="2" customFormat="false" ht="15" hidden="false" customHeight="false" outlineLevel="0" collapsed="false">
      <c r="A2" s="13" t="s">
        <v>40</v>
      </c>
    </row>
    <row r="3" customFormat="false" ht="45" hidden="false" customHeight="true" outlineLevel="0" collapsed="false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49</v>
      </c>
      <c r="J3" s="6" t="s">
        <v>50</v>
      </c>
      <c r="K3" s="6" t="s">
        <v>51</v>
      </c>
    </row>
    <row r="4" customFormat="false" ht="30" hidden="false" customHeight="true" outlineLevel="0" collapsed="false">
      <c r="A4" s="14" t="n">
        <v>1</v>
      </c>
      <c r="B4" s="7" t="s">
        <v>52</v>
      </c>
      <c r="C4" s="14" t="s">
        <v>53</v>
      </c>
      <c r="D4" s="15" t="n">
        <v>20</v>
      </c>
      <c r="E4" s="16" t="n">
        <v>3500</v>
      </c>
      <c r="F4" s="17" t="n">
        <f aca="false">E4*(1-הנחות!$B$5)</f>
        <v>1925</v>
      </c>
      <c r="G4" s="17" t="n">
        <f aca="false">E4*(1-הנחות!$B$6)</f>
        <v>2275</v>
      </c>
      <c r="H4" s="18" t="n">
        <f aca="false">D4*G4*הנחות!$B$4</f>
        <v>166075</v>
      </c>
      <c r="I4" s="18" t="n">
        <f aca="false">D4*F4*הנחות!$B$4</f>
        <v>140525</v>
      </c>
      <c r="J4" s="19" t="n">
        <f aca="false">IF(H4&gt;0,(H4-I4)/H4,0)</f>
        <v>0.153846153846154</v>
      </c>
      <c r="K4" s="7" t="s">
        <v>54</v>
      </c>
    </row>
    <row r="5" customFormat="false" ht="30" hidden="false" customHeight="true" outlineLevel="0" collapsed="false">
      <c r="A5" s="14" t="n">
        <v>2</v>
      </c>
      <c r="B5" s="7" t="s">
        <v>55</v>
      </c>
      <c r="C5" s="14" t="s">
        <v>53</v>
      </c>
      <c r="D5" s="15" t="n">
        <v>20</v>
      </c>
      <c r="E5" s="16" t="n">
        <v>1800</v>
      </c>
      <c r="F5" s="17" t="n">
        <f aca="false">E5*(1-הנחות!$B$5)</f>
        <v>990</v>
      </c>
      <c r="G5" s="17" t="n">
        <f aca="false">E5*(1-הנחות!$B$6)</f>
        <v>1170</v>
      </c>
      <c r="H5" s="18" t="n">
        <f aca="false">D5*G5*הנחות!$B$4</f>
        <v>85410</v>
      </c>
      <c r="I5" s="18" t="n">
        <f aca="false">D5*F5*הנחות!$B$4</f>
        <v>72270</v>
      </c>
      <c r="J5" s="19" t="n">
        <f aca="false">IF(H5&gt;0,(H5-I5)/H5,0)</f>
        <v>0.153846153846154</v>
      </c>
      <c r="K5" s="7"/>
    </row>
    <row r="6" customFormat="false" ht="30" hidden="false" customHeight="true" outlineLevel="0" collapsed="false">
      <c r="A6" s="14" t="n">
        <v>3</v>
      </c>
      <c r="B6" s="7" t="s">
        <v>56</v>
      </c>
      <c r="C6" s="14" t="s">
        <v>53</v>
      </c>
      <c r="D6" s="15" t="n">
        <v>60</v>
      </c>
      <c r="E6" s="16" t="n">
        <v>3000</v>
      </c>
      <c r="F6" s="17" t="n">
        <f aca="false">E6*(1-הנחות!$B$5)</f>
        <v>1650</v>
      </c>
      <c r="G6" s="17" t="n">
        <f aca="false">E6*(1-הנחות!$B$6)</f>
        <v>1950</v>
      </c>
      <c r="H6" s="18" t="n">
        <f aca="false">D6*G6*הנחות!$B$4</f>
        <v>427050</v>
      </c>
      <c r="I6" s="18" t="n">
        <f aca="false">D6*F6*הנחות!$B$4</f>
        <v>361350</v>
      </c>
      <c r="J6" s="19" t="n">
        <f aca="false">IF(H6&gt;0,(H6-I6)/H6,0)</f>
        <v>0.153846153846154</v>
      </c>
      <c r="K6" s="7" t="s">
        <v>57</v>
      </c>
    </row>
    <row r="7" customFormat="false" ht="30" hidden="false" customHeight="true" outlineLevel="0" collapsed="false">
      <c r="A7" s="14" t="n">
        <v>4</v>
      </c>
      <c r="B7" s="7" t="s">
        <v>58</v>
      </c>
      <c r="C7" s="14" t="s">
        <v>53</v>
      </c>
      <c r="D7" s="15" t="n">
        <v>60</v>
      </c>
      <c r="E7" s="16" t="n">
        <v>1200</v>
      </c>
      <c r="F7" s="17" t="n">
        <f aca="false">E7*(1-הנחות!$B$5)</f>
        <v>660</v>
      </c>
      <c r="G7" s="17" t="n">
        <f aca="false">E7*(1-הנחות!$B$6)</f>
        <v>780</v>
      </c>
      <c r="H7" s="18" t="n">
        <f aca="false">D7*G7*הנחות!$B$4</f>
        <v>170820</v>
      </c>
      <c r="I7" s="18" t="n">
        <f aca="false">D7*F7*הנחות!$B$4</f>
        <v>144540</v>
      </c>
      <c r="J7" s="19" t="n">
        <f aca="false">IF(H7&gt;0,(H7-I7)/H7,0)</f>
        <v>0.153846153846154</v>
      </c>
      <c r="K7" s="7"/>
    </row>
    <row r="8" customFormat="false" ht="30" hidden="false" customHeight="true" outlineLevel="0" collapsed="false">
      <c r="A8" s="14" t="n">
        <v>5</v>
      </c>
      <c r="B8" s="7" t="s">
        <v>59</v>
      </c>
      <c r="C8" s="14" t="s">
        <v>53</v>
      </c>
      <c r="D8" s="15" t="n">
        <v>10</v>
      </c>
      <c r="E8" s="16" t="n">
        <v>900</v>
      </c>
      <c r="F8" s="17" t="n">
        <f aca="false">E8*(1-הנחות!$B$5)</f>
        <v>495</v>
      </c>
      <c r="G8" s="17" t="n">
        <f aca="false">E8*(1-הנחות!$B$6)</f>
        <v>585</v>
      </c>
      <c r="H8" s="18" t="n">
        <f aca="false">D8*G8*הנחות!$B$4</f>
        <v>21352.5</v>
      </c>
      <c r="I8" s="18" t="n">
        <f aca="false">D8*F8*הנחות!$B$4</f>
        <v>18067.5</v>
      </c>
      <c r="J8" s="19" t="n">
        <f aca="false">IF(H8&gt;0,(H8-I8)/H8,0)</f>
        <v>0.153846153846154</v>
      </c>
      <c r="K8" s="7"/>
    </row>
    <row r="9" customFormat="false" ht="30" hidden="false" customHeight="true" outlineLevel="0" collapsed="false">
      <c r="A9" s="14" t="n">
        <v>6</v>
      </c>
      <c r="B9" s="7" t="s">
        <v>60</v>
      </c>
      <c r="C9" s="14" t="s">
        <v>53</v>
      </c>
      <c r="D9" s="15" t="n">
        <v>3</v>
      </c>
      <c r="E9" s="16" t="n">
        <v>600</v>
      </c>
      <c r="F9" s="17" t="n">
        <f aca="false">E9*(1-הנחות!$B$5)</f>
        <v>330</v>
      </c>
      <c r="G9" s="17" t="n">
        <f aca="false">E9*(1-הנחות!$B$6)</f>
        <v>390</v>
      </c>
      <c r="H9" s="18" t="n">
        <f aca="false">D9*G9*הנחות!$B$4</f>
        <v>4270.5</v>
      </c>
      <c r="I9" s="18" t="n">
        <f aca="false">D9*F9*הנחות!$B$4</f>
        <v>3613.5</v>
      </c>
      <c r="J9" s="19" t="n">
        <f aca="false">IF(H9&gt;0,(H9-I9)/H9,0)</f>
        <v>0.153846153846154</v>
      </c>
      <c r="K9" s="7" t="s">
        <v>61</v>
      </c>
    </row>
    <row r="10" customFormat="false" ht="30" hidden="false" customHeight="true" outlineLevel="0" collapsed="false">
      <c r="A10" s="14" t="n">
        <v>7</v>
      </c>
      <c r="B10" s="7" t="s">
        <v>62</v>
      </c>
      <c r="C10" s="14" t="s">
        <v>53</v>
      </c>
      <c r="D10" s="15" t="n">
        <v>1440</v>
      </c>
      <c r="E10" s="16" t="n">
        <v>90</v>
      </c>
      <c r="F10" s="17" t="n">
        <f aca="false">E10*(1-הנחות!$B$5)</f>
        <v>49.5</v>
      </c>
      <c r="G10" s="17" t="n">
        <f aca="false">E10*(1-הנחות!$B$6)</f>
        <v>58.5</v>
      </c>
      <c r="H10" s="18" t="n">
        <f aca="false">D10*G10*הנחות!$B$4</f>
        <v>307476</v>
      </c>
      <c r="I10" s="18" t="n">
        <f aca="false">D10*F10*הנחות!$B$4</f>
        <v>260172</v>
      </c>
      <c r="J10" s="19" t="n">
        <f aca="false">IF(H10&gt;0,(H10-I10)/H10,0)</f>
        <v>0.153846153846154</v>
      </c>
      <c r="K10" s="7" t="s">
        <v>63</v>
      </c>
    </row>
    <row r="11" customFormat="false" ht="30" hidden="false" customHeight="true" outlineLevel="0" collapsed="false">
      <c r="A11" s="14" t="n">
        <v>8</v>
      </c>
      <c r="B11" s="7" t="s">
        <v>64</v>
      </c>
      <c r="C11" s="14" t="s">
        <v>53</v>
      </c>
      <c r="D11" s="15" t="n">
        <v>3</v>
      </c>
      <c r="E11" s="16" t="n">
        <v>500</v>
      </c>
      <c r="F11" s="17" t="n">
        <f aca="false">E11*(1-הנחות!$B$5)</f>
        <v>275</v>
      </c>
      <c r="G11" s="17" t="n">
        <f aca="false">E11*(1-הנחות!$B$6)</f>
        <v>325</v>
      </c>
      <c r="H11" s="18" t="n">
        <f aca="false">D11*G11*הנחות!$B$4</f>
        <v>3558.75</v>
      </c>
      <c r="I11" s="18" t="n">
        <f aca="false">D11*F11*הנחות!$B$4</f>
        <v>3011.25</v>
      </c>
      <c r="J11" s="19" t="n">
        <f aca="false">IF(H11&gt;0,(H11-I11)/H11,0)</f>
        <v>0.153846153846154</v>
      </c>
      <c r="K11" s="7"/>
    </row>
    <row r="12" customFormat="false" ht="30" hidden="false" customHeight="true" outlineLevel="0" collapsed="false">
      <c r="A12" s="14" t="n">
        <v>9</v>
      </c>
      <c r="B12" s="7" t="s">
        <v>65</v>
      </c>
      <c r="C12" s="14" t="s">
        <v>53</v>
      </c>
      <c r="D12" s="15" t="n">
        <v>1440</v>
      </c>
      <c r="E12" s="16" t="n">
        <v>120</v>
      </c>
      <c r="F12" s="17" t="n">
        <f aca="false">E12*(1-הנחות!$B$5)</f>
        <v>66</v>
      </c>
      <c r="G12" s="17" t="n">
        <f aca="false">E12*(1-הנחות!$B$6)</f>
        <v>78</v>
      </c>
      <c r="H12" s="18" t="n">
        <f aca="false">D12*G12*הנחות!$B$4</f>
        <v>409968</v>
      </c>
      <c r="I12" s="18" t="n">
        <f aca="false">D12*F12*הנחות!$B$4</f>
        <v>346896</v>
      </c>
      <c r="J12" s="19" t="n">
        <f aca="false">IF(H12&gt;0,(H12-I12)/H12,0)</f>
        <v>0.153846153846154</v>
      </c>
      <c r="K12" s="7" t="s">
        <v>66</v>
      </c>
    </row>
    <row r="13" customFormat="false" ht="30" hidden="false" customHeight="true" outlineLevel="0" collapsed="false">
      <c r="A13" s="14" t="n">
        <v>10</v>
      </c>
      <c r="B13" s="7" t="s">
        <v>67</v>
      </c>
      <c r="C13" s="14" t="s">
        <v>68</v>
      </c>
      <c r="D13" s="15" t="n">
        <v>60</v>
      </c>
      <c r="E13" s="8" t="n">
        <v>0.67</v>
      </c>
      <c r="F13" s="18" t="n">
        <f aca="false">E13*הנחות!$B$8*(1+הנחות!$B$13)</f>
        <v>1326.6</v>
      </c>
      <c r="G13" s="18" t="n">
        <f aca="false">F13*(1+הנחות!$B$7)</f>
        <v>1724.58</v>
      </c>
      <c r="H13" s="18" t="n">
        <f aca="false">D13*G13</f>
        <v>103474.8</v>
      </c>
      <c r="I13" s="18" t="n">
        <f aca="false">D13*F13</f>
        <v>79596</v>
      </c>
      <c r="J13" s="19" t="n">
        <f aca="false">IF(H13&gt;0,(H13-I13)/H13,0)</f>
        <v>0.230769230769231</v>
      </c>
      <c r="K13" s="7" t="s">
        <v>69</v>
      </c>
    </row>
    <row r="14" customFormat="false" ht="30" hidden="false" customHeight="true" outlineLevel="0" collapsed="false">
      <c r="A14" s="14" t="n">
        <v>11</v>
      </c>
      <c r="B14" s="7" t="s">
        <v>70</v>
      </c>
      <c r="C14" s="14" t="s">
        <v>68</v>
      </c>
      <c r="D14" s="15" t="n">
        <v>60</v>
      </c>
      <c r="E14" s="8" t="n">
        <v>0.6</v>
      </c>
      <c r="F14" s="18" t="n">
        <f aca="false">E14*הנחות!$B$8*(1+הנחות!$B$13)+250</f>
        <v>1438</v>
      </c>
      <c r="G14" s="18" t="n">
        <f aca="false">F14*(1+הנחות!$B$7)</f>
        <v>1869.4</v>
      </c>
      <c r="H14" s="18" t="n">
        <f aca="false">D14*G14</f>
        <v>112164</v>
      </c>
      <c r="I14" s="18" t="n">
        <f aca="false">D14*F14</f>
        <v>86280</v>
      </c>
      <c r="J14" s="19" t="n">
        <f aca="false">IF(H14&gt;0,(H14-I14)/H14,0)</f>
        <v>0.230769230769231</v>
      </c>
      <c r="K14" s="7" t="s">
        <v>71</v>
      </c>
    </row>
    <row r="15" customFormat="false" ht="30" hidden="false" customHeight="true" outlineLevel="0" collapsed="false">
      <c r="A15" s="14" t="n">
        <v>12</v>
      </c>
      <c r="B15" s="7" t="s">
        <v>72</v>
      </c>
      <c r="C15" s="14" t="s">
        <v>68</v>
      </c>
      <c r="D15" s="15" t="n">
        <v>1</v>
      </c>
      <c r="E15" s="8" t="n">
        <v>18</v>
      </c>
      <c r="F15" s="18" t="n">
        <f aca="false">E15*הנחות!$B$9*(1+הנחות!$B$13)</f>
        <v>51480</v>
      </c>
      <c r="G15" s="18" t="n">
        <f aca="false">F15*(1+הנחות!$B$7)</f>
        <v>66924</v>
      </c>
      <c r="H15" s="18" t="n">
        <f aca="false">D15*G15</f>
        <v>66924</v>
      </c>
      <c r="I15" s="18" t="n">
        <f aca="false">D15*F15</f>
        <v>51480</v>
      </c>
      <c r="J15" s="19" t="n">
        <f aca="false">IF(H15&gt;0,(H15-I15)/H15,0)</f>
        <v>0.230769230769231</v>
      </c>
      <c r="K15" s="7"/>
    </row>
    <row r="16" customFormat="false" ht="30" hidden="false" customHeight="true" outlineLevel="0" collapsed="false">
      <c r="A16" s="14" t="n">
        <v>13</v>
      </c>
      <c r="B16" s="7" t="s">
        <v>73</v>
      </c>
      <c r="C16" s="14" t="s">
        <v>68</v>
      </c>
      <c r="D16" s="15" t="n">
        <v>1</v>
      </c>
      <c r="E16" s="8" t="n">
        <v>10</v>
      </c>
      <c r="F16" s="18" t="n">
        <f aca="false">E16*הנחות!$B$9*(1+הנחות!$B$13)</f>
        <v>28600</v>
      </c>
      <c r="G16" s="18" t="n">
        <f aca="false">F16*(1+הנחות!$B$7)</f>
        <v>37180</v>
      </c>
      <c r="H16" s="18" t="n">
        <f aca="false">D16*G16</f>
        <v>37180</v>
      </c>
      <c r="I16" s="18" t="n">
        <f aca="false">D16*F16</f>
        <v>28600</v>
      </c>
      <c r="J16" s="19" t="n">
        <f aca="false">IF(H16&gt;0,(H16-I16)/H16,0)</f>
        <v>0.230769230769231</v>
      </c>
      <c r="K16" s="7"/>
    </row>
    <row r="17" customFormat="false" ht="30" hidden="false" customHeight="true" outlineLevel="0" collapsed="false">
      <c r="A17" s="14" t="n">
        <v>14</v>
      </c>
      <c r="B17" s="7" t="s">
        <v>74</v>
      </c>
      <c r="C17" s="14" t="s">
        <v>68</v>
      </c>
      <c r="D17" s="15" t="n">
        <v>10</v>
      </c>
      <c r="E17" s="8" t="n">
        <v>0.8</v>
      </c>
      <c r="F17" s="18" t="n">
        <f aca="false">E17*הנחות!$B$9*(1+הנחות!$B$13)</f>
        <v>2288</v>
      </c>
      <c r="G17" s="18" t="n">
        <f aca="false">F17*(1+הנחות!$B$7)</f>
        <v>2974.4</v>
      </c>
      <c r="H17" s="18" t="n">
        <f aca="false">D17*G17</f>
        <v>29744</v>
      </c>
      <c r="I17" s="18" t="n">
        <f aca="false">D17*F17</f>
        <v>22880</v>
      </c>
      <c r="J17" s="19" t="n">
        <f aca="false">IF(H17&gt;0,(H17-I17)/H17,0)</f>
        <v>0.230769230769231</v>
      </c>
      <c r="K17" s="7" t="s">
        <v>75</v>
      </c>
    </row>
    <row r="18" customFormat="false" ht="30" hidden="false" customHeight="true" outlineLevel="0" collapsed="false">
      <c r="A18" s="14" t="n">
        <v>15</v>
      </c>
      <c r="B18" s="7" t="s">
        <v>76</v>
      </c>
      <c r="C18" s="14" t="s">
        <v>68</v>
      </c>
      <c r="D18" s="15" t="n">
        <v>1</v>
      </c>
      <c r="E18" s="8" t="n">
        <v>12</v>
      </c>
      <c r="F18" s="18" t="n">
        <f aca="false">E18*הנחות!$B$10*(1+הנחות!$B$13)</f>
        <v>52800</v>
      </c>
      <c r="G18" s="18" t="n">
        <f aca="false">F18*(1+הנחות!$B$7)</f>
        <v>68640</v>
      </c>
      <c r="H18" s="18" t="n">
        <f aca="false">D18*G18</f>
        <v>68640</v>
      </c>
      <c r="I18" s="18" t="n">
        <f aca="false">D18*F18</f>
        <v>52800</v>
      </c>
      <c r="J18" s="19" t="n">
        <f aca="false">IF(H18&gt;0,(H18-I18)/H18,0)</f>
        <v>0.230769230769231</v>
      </c>
      <c r="K18" s="7"/>
    </row>
    <row r="19" customFormat="false" ht="30" hidden="false" customHeight="true" outlineLevel="0" collapsed="false">
      <c r="A19" s="14" t="n">
        <v>16</v>
      </c>
      <c r="B19" s="7" t="s">
        <v>77</v>
      </c>
      <c r="C19" s="14" t="s">
        <v>68</v>
      </c>
      <c r="D19" s="15" t="n">
        <v>1</v>
      </c>
      <c r="E19" s="8" t="n">
        <v>25</v>
      </c>
      <c r="F19" s="18" t="n">
        <f aca="false">E19*הנחות!$B$9*(1+הנחות!$B$13)</f>
        <v>71500</v>
      </c>
      <c r="G19" s="18" t="n">
        <f aca="false">F19*(1+הנחות!$B$7)</f>
        <v>92950</v>
      </c>
      <c r="H19" s="18" t="n">
        <f aca="false">D19*G19</f>
        <v>92950</v>
      </c>
      <c r="I19" s="18" t="n">
        <f aca="false">D19*F19</f>
        <v>71500</v>
      </c>
      <c r="J19" s="19" t="n">
        <f aca="false">IF(H19&gt;0,(H19-I19)/H19,0)</f>
        <v>0.230769230769231</v>
      </c>
      <c r="K19" s="7" t="s">
        <v>78</v>
      </c>
    </row>
    <row r="21" customFormat="false" ht="15" hidden="false" customHeight="false" outlineLevel="0" collapsed="false">
      <c r="B21" s="20" t="s">
        <v>79</v>
      </c>
      <c r="H21" s="21" t="n">
        <f aca="false">SUM(H4:H12)</f>
        <v>1595980.75</v>
      </c>
      <c r="I21" s="21" t="n">
        <f aca="false">SUM(I4:I12)</f>
        <v>1350445.25</v>
      </c>
    </row>
    <row r="22" customFormat="false" ht="15" hidden="false" customHeight="false" outlineLevel="0" collapsed="false">
      <c r="B22" s="20" t="s">
        <v>80</v>
      </c>
      <c r="H22" s="21" t="n">
        <f aca="false">SUM(H13:H19)</f>
        <v>511076.8</v>
      </c>
      <c r="I22" s="21" t="n">
        <f aca="false">SUM(I13:I19)</f>
        <v>393136</v>
      </c>
    </row>
    <row r="23" customFormat="false" ht="15" hidden="false" customHeight="false" outlineLevel="0" collapsed="false">
      <c r="B23" s="20" t="s">
        <v>81</v>
      </c>
      <c r="H23" s="21" t="n">
        <f aca="false">H21+H22</f>
        <v>2107057.55</v>
      </c>
      <c r="I23" s="21" t="n">
        <f aca="false">I21+I22</f>
        <v>1743581.25</v>
      </c>
    </row>
    <row r="24" customFormat="false" ht="15" hidden="false" customHeight="false" outlineLevel="0" collapsed="false">
      <c r="B24" s="14" t="s">
        <v>82</v>
      </c>
      <c r="H24" s="19" t="n">
        <f aca="false">IF(H23&gt;0,H21/H23,0)</f>
        <v>0.757445258199046</v>
      </c>
    </row>
  </sheetData>
  <conditionalFormatting sqref="J4:J1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5" t="s">
        <v>83</v>
      </c>
    </row>
    <row r="3" customFormat="false" ht="45" hidden="false" customHeight="true" outlineLevel="0" collapsed="false">
      <c r="A3" s="6" t="s">
        <v>53</v>
      </c>
      <c r="B3" s="6" t="s">
        <v>84</v>
      </c>
      <c r="C3" s="6" t="s">
        <v>85</v>
      </c>
      <c r="D3" s="6" t="s">
        <v>86</v>
      </c>
      <c r="E3" s="6" t="s">
        <v>87</v>
      </c>
    </row>
    <row r="4" customFormat="false" ht="26.85" hidden="false" customHeight="false" outlineLevel="0" collapsed="false">
      <c r="A4" s="14" t="s">
        <v>88</v>
      </c>
      <c r="D4" s="9" t="n">
        <v>0.4</v>
      </c>
      <c r="E4" s="7" t="s">
        <v>89</v>
      </c>
    </row>
    <row r="5" customFormat="false" ht="15" hidden="false" customHeight="false" outlineLevel="0" collapsed="false">
      <c r="A5" s="14" t="s">
        <v>90</v>
      </c>
      <c r="D5" s="9" t="n">
        <v>0.9</v>
      </c>
    </row>
    <row r="6" customFormat="false" ht="15" hidden="false" customHeight="false" outlineLevel="0" collapsed="false">
      <c r="A6" s="20" t="s">
        <v>91</v>
      </c>
      <c r="C6" s="21" t="n">
        <f aca="false">'כתב כמויות'!$H$23</f>
        <v>2107057.55</v>
      </c>
      <c r="D6" s="21" t="n">
        <f aca="false">SUMPRODUCT('כתב כמויות'!D4:D12,'כתב כמויות'!E4:E12)*(1-D4)*הנחות!B4+'כתב כמויות'!$H$22*D5</f>
        <v>1933182.12</v>
      </c>
    </row>
    <row r="7" customFormat="false" ht="15" hidden="false" customHeight="false" outlineLevel="0" collapsed="false">
      <c r="A7" s="14" t="s">
        <v>92</v>
      </c>
      <c r="B7" s="22" t="n">
        <v>60</v>
      </c>
      <c r="C7" s="23" t="n">
        <f aca="false">60*MIN(C6,D6)/C6</f>
        <v>55.0487703575064</v>
      </c>
      <c r="D7" s="23" t="n">
        <f aca="false">60*MIN(C6,D6)/D6</f>
        <v>60</v>
      </c>
    </row>
    <row r="8" customFormat="false" ht="15" hidden="false" customHeight="false" outlineLevel="0" collapsed="false">
      <c r="A8" s="7" t="s">
        <v>93</v>
      </c>
      <c r="B8" s="22" t="n">
        <v>10</v>
      </c>
      <c r="C8" s="8" t="n">
        <v>0</v>
      </c>
      <c r="D8" s="8" t="n">
        <v>10</v>
      </c>
      <c r="E8" s="7" t="s">
        <v>94</v>
      </c>
    </row>
    <row r="9" customFormat="false" ht="15" hidden="false" customHeight="false" outlineLevel="0" collapsed="false">
      <c r="A9" s="7" t="s">
        <v>95</v>
      </c>
      <c r="B9" s="22" t="n">
        <v>10</v>
      </c>
      <c r="C9" s="8" t="n">
        <v>0</v>
      </c>
      <c r="D9" s="8" t="n">
        <v>5</v>
      </c>
      <c r="E9" s="7"/>
    </row>
    <row r="10" customFormat="false" ht="15" hidden="false" customHeight="false" outlineLevel="0" collapsed="false">
      <c r="A10" s="7" t="s">
        <v>96</v>
      </c>
      <c r="B10" s="22" t="n">
        <v>10</v>
      </c>
      <c r="C10" s="8" t="n">
        <v>5</v>
      </c>
      <c r="D10" s="8" t="n">
        <v>10</v>
      </c>
      <c r="E10" s="7"/>
    </row>
    <row r="11" customFormat="false" ht="15" hidden="false" customHeight="false" outlineLevel="0" collapsed="false">
      <c r="A11" s="7" t="s">
        <v>97</v>
      </c>
      <c r="B11" s="22" t="n">
        <v>10</v>
      </c>
      <c r="C11" s="8" t="n">
        <v>2.5</v>
      </c>
      <c r="D11" s="8" t="n">
        <v>5</v>
      </c>
      <c r="E11" s="7"/>
    </row>
    <row r="12" customFormat="false" ht="15" hidden="false" customHeight="false" outlineLevel="0" collapsed="false">
      <c r="A12" s="20" t="s">
        <v>98</v>
      </c>
      <c r="B12" s="24" t="n">
        <v>100</v>
      </c>
      <c r="C12" s="25" t="n">
        <f aca="false">SUM(C7:C11)</f>
        <v>62.5487703575064</v>
      </c>
      <c r="D12" s="25" t="n">
        <f aca="false">SUM(D7:D11)</f>
        <v>90</v>
      </c>
    </row>
    <row r="13" customFormat="false" ht="15" hidden="false" customHeight="false" outlineLevel="0" collapsed="false">
      <c r="A13" s="20" t="s">
        <v>99</v>
      </c>
      <c r="C13" s="26" t="n">
        <f aca="false">C12-D12</f>
        <v>-27.4512296424936</v>
      </c>
    </row>
    <row r="14" customFormat="false" ht="26.85" hidden="false" customHeight="false" outlineLevel="0" collapsed="false">
      <c r="A14" s="7" t="s">
        <v>100</v>
      </c>
      <c r="C14" s="21" t="n">
        <f aca="false">60*D6/(60+SUM(D8:D11)-SUM(C8:C11))</f>
        <v>1405950.63272727</v>
      </c>
      <c r="E14" s="7" t="s">
        <v>101</v>
      </c>
    </row>
    <row r="15" customFormat="false" ht="15" hidden="false" customHeight="false" outlineLevel="0" collapsed="false">
      <c r="A15" s="14" t="s">
        <v>102</v>
      </c>
      <c r="C15" s="21" t="n">
        <f aca="false">C6*C6/(60*MIN(C6,D6))</f>
        <v>38276.1964766155</v>
      </c>
      <c r="E15" s="7" t="s">
        <v>103</v>
      </c>
    </row>
    <row r="17" customFormat="false" ht="15" hidden="false" customHeight="false" outlineLevel="0" collapsed="false">
      <c r="A17" s="20" t="s">
        <v>104</v>
      </c>
    </row>
    <row r="18" customFormat="false" ht="45" hidden="false" customHeight="true" outlineLevel="0" collapsed="false">
      <c r="A18" s="6" t="s">
        <v>105</v>
      </c>
      <c r="B18" s="6" t="s">
        <v>106</v>
      </c>
      <c r="C18" s="6" t="s">
        <v>92</v>
      </c>
      <c r="D18" s="6" t="s">
        <v>107</v>
      </c>
      <c r="E18" s="6" t="s">
        <v>108</v>
      </c>
    </row>
    <row r="19" customFormat="false" ht="15" hidden="false" customHeight="false" outlineLevel="0" collapsed="false">
      <c r="A19" s="27" t="n">
        <v>0.25</v>
      </c>
      <c r="B19" s="18" t="n">
        <f aca="false">SUMPRODUCT('כתב כמויות'!$D$4:$D$12,'כתב כמויות'!$E$4:$E$12)*(1-A19)*הנחות!$B$4+'כתב כמויות'!$H$22</f>
        <v>2352593.05</v>
      </c>
      <c r="C19" s="23" t="n">
        <f aca="false">60*MIN(B19,$D$6)/B19</f>
        <v>49.3034386886419</v>
      </c>
      <c r="D19" s="23" t="n">
        <f aca="false">C19+SUM($C$8:$C$11)</f>
        <v>56.8034386886419</v>
      </c>
      <c r="E19" s="18" t="n">
        <f aca="false">B19-'כתב כמויות'!$I$21-'כתב כמויות'!$I$22</f>
        <v>609011.8</v>
      </c>
    </row>
    <row r="20" customFormat="false" ht="15" hidden="false" customHeight="false" outlineLevel="0" collapsed="false">
      <c r="A20" s="27" t="n">
        <v>0.3</v>
      </c>
      <c r="B20" s="18" t="n">
        <f aca="false">SUMPRODUCT('כתב כמויות'!$D$4:$D$12,'כתב כמויות'!$E$4:$E$12)*(1-A20)*הנחות!$B$4+'כתב כמויות'!$H$22</f>
        <v>2229825.3</v>
      </c>
      <c r="C20" s="23" t="n">
        <f aca="false">60*MIN(B20,$D$6)/B20</f>
        <v>52.0179438272586</v>
      </c>
      <c r="D20" s="23" t="n">
        <f aca="false">C20+SUM($C$8:$C$11)</f>
        <v>59.5179438272586</v>
      </c>
      <c r="E20" s="18" t="n">
        <f aca="false">B20-'כתב כמויות'!$I$21-'כתב כמויות'!$I$22</f>
        <v>486244.05</v>
      </c>
    </row>
    <row r="21" customFormat="false" ht="15" hidden="false" customHeight="false" outlineLevel="0" collapsed="false">
      <c r="A21" s="27" t="n">
        <v>0.35</v>
      </c>
      <c r="B21" s="18" t="n">
        <f aca="false">SUMPRODUCT('כתב כמויות'!$D$4:$D$12,'כתב כמויות'!$E$4:$E$12)*(1-A21)*הנחות!$B$4+'כתב כמויות'!$H$22</f>
        <v>2107057.55</v>
      </c>
      <c r="C21" s="23" t="n">
        <f aca="false">60*MIN(B21,$D$6)/B21</f>
        <v>55.0487703575064</v>
      </c>
      <c r="D21" s="23" t="n">
        <f aca="false">C21+SUM($C$8:$C$11)</f>
        <v>62.5487703575064</v>
      </c>
      <c r="E21" s="18" t="n">
        <f aca="false">B21-'כתב כמויות'!$I$21-'כתב כמויות'!$I$22</f>
        <v>363476.3</v>
      </c>
    </row>
    <row r="22" customFormat="false" ht="15" hidden="false" customHeight="false" outlineLevel="0" collapsed="false">
      <c r="A22" s="27" t="n">
        <v>0.4</v>
      </c>
      <c r="B22" s="18" t="n">
        <f aca="false">SUMPRODUCT('כתב כמויות'!$D$4:$D$12,'כתב כמויות'!$E$4:$E$12)*(1-A22)*הנחות!$B$4+'כתב כמויות'!$H$22</f>
        <v>1984289.8</v>
      </c>
      <c r="C22" s="23" t="n">
        <f aca="false">60*MIN(B22,$D$6)/B22</f>
        <v>58.4546305685793</v>
      </c>
      <c r="D22" s="23" t="n">
        <f aca="false">C22+SUM($C$8:$C$11)</f>
        <v>65.9546305685793</v>
      </c>
      <c r="E22" s="18" t="n">
        <f aca="false">B22-'כתב כמויות'!$I$21-'כתב כמויות'!$I$22</f>
        <v>240708.55</v>
      </c>
    </row>
    <row r="23" customFormat="false" ht="15" hidden="false" customHeight="false" outlineLevel="0" collapsed="false">
      <c r="A23" s="27" t="n">
        <v>0.42</v>
      </c>
      <c r="B23" s="18" t="n">
        <f aca="false">SUMPRODUCT('כתב כמויות'!$D$4:$D$12,'כתב כמויות'!$E$4:$E$12)*(1-A23)*הנחות!$B$4+'כתב כמויות'!$H$22</f>
        <v>1935182.7</v>
      </c>
      <c r="C23" s="23" t="n">
        <f aca="false">60*MIN(B23,$D$6)/B23</f>
        <v>59.9379723681904</v>
      </c>
      <c r="D23" s="23" t="n">
        <f aca="false">C23+SUM($C$8:$C$11)</f>
        <v>67.4379723681903</v>
      </c>
      <c r="E23" s="18" t="n">
        <f aca="false">B23-'כתב כמויות'!$I$21-'כתב כמויות'!$I$22</f>
        <v>191601.45</v>
      </c>
    </row>
    <row r="24" customFormat="false" ht="15" hidden="false" customHeight="false" outlineLevel="0" collapsed="false">
      <c r="A24" s="27" t="n">
        <v>0.45</v>
      </c>
      <c r="B24" s="18" t="n">
        <f aca="false">SUMPRODUCT('כתב כמויות'!$D$4:$D$12,'כתב כמויות'!$E$4:$E$12)*(1-A24)*הנחות!$B$4+'כתב כמויות'!$H$22</f>
        <v>1861522.05</v>
      </c>
      <c r="C24" s="23" t="n">
        <f aca="false">60*MIN(B24,$D$6)/B24</f>
        <v>60</v>
      </c>
      <c r="D24" s="23" t="n">
        <f aca="false">C24+SUM($C$8:$C$11)</f>
        <v>67.5</v>
      </c>
      <c r="E24" s="18" t="n">
        <f aca="false">B24-'כתב כמויות'!$I$21-'כתב כמויות'!$I$22</f>
        <v>117940.8</v>
      </c>
    </row>
  </sheetData>
  <conditionalFormatting sqref="E19:E2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5" t="s">
        <v>109</v>
      </c>
    </row>
    <row r="3" customFormat="false" ht="45" hidden="false" customHeight="true" outlineLevel="0" collapsed="false">
      <c r="A3" s="6" t="s">
        <v>110</v>
      </c>
      <c r="B3" s="6" t="s">
        <v>111</v>
      </c>
      <c r="C3" s="6" t="s">
        <v>87</v>
      </c>
    </row>
    <row r="4" customFormat="false" ht="15" hidden="false" customHeight="false" outlineLevel="0" collapsed="false">
      <c r="A4" s="14" t="s">
        <v>112</v>
      </c>
      <c r="B4" s="18" t="n">
        <f aca="false">'כתב כמויות'!$H$21</f>
        <v>1595980.75</v>
      </c>
      <c r="C4" s="7"/>
    </row>
    <row r="5" customFormat="false" ht="15" hidden="false" customHeight="false" outlineLevel="0" collapsed="false">
      <c r="A5" s="14" t="s">
        <v>113</v>
      </c>
      <c r="B5" s="18" t="n">
        <f aca="false">'כתב כמויות'!$H$22</f>
        <v>511076.8</v>
      </c>
      <c r="C5" s="7"/>
    </row>
    <row r="6" customFormat="false" ht="15" hidden="false" customHeight="false" outlineLevel="0" collapsed="false">
      <c r="A6" s="20" t="s">
        <v>114</v>
      </c>
      <c r="B6" s="21" t="n">
        <f aca="false">B4+B5</f>
        <v>2107057.55</v>
      </c>
      <c r="C6" s="7"/>
    </row>
    <row r="7" customFormat="false" ht="15" hidden="false" customHeight="false" outlineLevel="0" collapsed="false">
      <c r="A7" s="14" t="s">
        <v>115</v>
      </c>
      <c r="B7" s="18" t="n">
        <f aca="false">-'כתב כמויות'!$I$21</f>
        <v>-1350445.25</v>
      </c>
      <c r="C7" s="7" t="s">
        <v>116</v>
      </c>
    </row>
    <row r="8" customFormat="false" ht="15" hidden="false" customHeight="false" outlineLevel="0" collapsed="false">
      <c r="A8" s="14" t="s">
        <v>117</v>
      </c>
      <c r="B8" s="18" t="n">
        <f aca="false">-'כתב כמויות'!$I$22</f>
        <v>-393136</v>
      </c>
      <c r="C8" s="7"/>
    </row>
    <row r="9" customFormat="false" ht="15" hidden="false" customHeight="false" outlineLevel="0" collapsed="false">
      <c r="A9" s="14" t="s">
        <v>118</v>
      </c>
      <c r="B9" s="18" t="n">
        <f aca="false">-הנחות!B11*הנחות!B12</f>
        <v>-180000</v>
      </c>
      <c r="C9" s="7" t="s">
        <v>119</v>
      </c>
    </row>
    <row r="10" customFormat="false" ht="15" hidden="false" customHeight="false" outlineLevel="0" collapsed="false">
      <c r="A10" s="20" t="s">
        <v>120</v>
      </c>
      <c r="B10" s="21" t="n">
        <f aca="false">B7+B8+B9</f>
        <v>-1923581.25</v>
      </c>
      <c r="C10" s="7"/>
    </row>
    <row r="11" customFormat="false" ht="15" hidden="false" customHeight="false" outlineLevel="0" collapsed="false">
      <c r="A11" s="20" t="s">
        <v>121</v>
      </c>
      <c r="B11" s="21" t="n">
        <f aca="false">B6+B10</f>
        <v>183476.3</v>
      </c>
      <c r="C11" s="7"/>
    </row>
    <row r="12" customFormat="false" ht="15" hidden="false" customHeight="false" outlineLevel="0" collapsed="false">
      <c r="A12" s="20" t="s">
        <v>50</v>
      </c>
      <c r="B12" s="28" t="n">
        <f aca="false">IF(B6&gt;0,B11/B6,0)</f>
        <v>0.0870770235962467</v>
      </c>
      <c r="C12" s="7"/>
    </row>
  </sheetData>
  <conditionalFormatting sqref="B11:B1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14"/>
  </cols>
  <sheetData>
    <row r="1" customFormat="false" ht="17.15" hidden="false" customHeight="false" outlineLevel="0" collapsed="false">
      <c r="A1" s="5" t="s">
        <v>122</v>
      </c>
    </row>
    <row r="2" customFormat="false" ht="15" hidden="false" customHeight="false" outlineLevel="0" collapsed="false">
      <c r="A2" s="20" t="s">
        <v>123</v>
      </c>
      <c r="B2" s="20"/>
      <c r="C2" s="21" t="n">
        <f aca="false">F7+NPV(הנחות!B15/12,F8:F73)</f>
        <v>157922.667625819</v>
      </c>
    </row>
    <row r="3" customFormat="false" ht="15" hidden="false" customHeight="false" outlineLevel="0" collapsed="false">
      <c r="A3" s="20" t="s">
        <v>124</v>
      </c>
      <c r="B3" s="20"/>
      <c r="C3" s="21" t="n">
        <f aca="false">MIN(G7:G73)</f>
        <v>-1556013.25</v>
      </c>
    </row>
    <row r="4" customFormat="false" ht="14.15" hidden="false" customHeight="false" outlineLevel="0" collapsed="false">
      <c r="A4" s="14" t="s">
        <v>125</v>
      </c>
      <c r="B4" s="14"/>
      <c r="C4" s="14"/>
      <c r="D4" s="14"/>
      <c r="E4" s="14"/>
      <c r="F4" s="14"/>
      <c r="G4" s="14"/>
    </row>
    <row r="6" customFormat="false" ht="45" hidden="false" customHeight="true" outlineLevel="0" collapsed="false">
      <c r="A6" s="6" t="s">
        <v>126</v>
      </c>
      <c r="B6" s="6" t="s">
        <v>127</v>
      </c>
      <c r="C6" s="6" t="s">
        <v>128</v>
      </c>
      <c r="D6" s="6" t="s">
        <v>129</v>
      </c>
      <c r="E6" s="6" t="s">
        <v>130</v>
      </c>
      <c r="F6" s="6" t="s">
        <v>131</v>
      </c>
      <c r="G6" s="6" t="s">
        <v>132</v>
      </c>
    </row>
    <row r="7" customFormat="false" ht="15" hidden="false" customHeight="false" outlineLevel="0" collapsed="false">
      <c r="A7" s="29" t="n">
        <v>0</v>
      </c>
      <c r="B7" s="18" t="n">
        <f aca="false">IF(A7=הנחות!$B$16,'כתב כמויות'!$H$21,0)</f>
        <v>0</v>
      </c>
      <c r="C7" s="18" t="n">
        <f aca="false">IF(AND(A7&gt;=הנחות!$B$16,A7&lt;הנחות!$B$16+הנחות!$B$17),'כתב כמויות'!$H$22/הנחות!$B$17,0)</f>
        <v>0</v>
      </c>
      <c r="D7" s="18" t="n">
        <f aca="false">IF(A7-ROUND(הנחות!$B$14,0)&gt;=0,INDEX($B$7:$B$73,A7-ROUND(הנחות!$B$14,0)+1)+INDEX($C$7:$C$73,A7-ROUND(הנחות!$B$14,0)+1),0)</f>
        <v>0</v>
      </c>
      <c r="E7" s="18" t="n">
        <f aca="false">-(IF(A7=הנחות!$B$16-1,'כתב כמויות'!$I$21,0)+IF(AND(A7&gt;=הנחות!$B$16,A7&lt;הנחות!$B$16+הנחות!$B$17),'כתב כמויות'!$I$22/הנחות!$B$17,0)+IF(AND(A7&gt;=הנחות!$B$16,A7&lt;הנחות!$B$16+הנחות!$B$12),הנחות!$B$11,0))</f>
        <v>-0</v>
      </c>
      <c r="F7" s="18" t="n">
        <f aca="false">D7+E7</f>
        <v>0</v>
      </c>
      <c r="G7" s="18" t="n">
        <f aca="false">F7</f>
        <v>0</v>
      </c>
    </row>
    <row r="8" customFormat="false" ht="15" hidden="false" customHeight="false" outlineLevel="0" collapsed="false">
      <c r="A8" s="29" t="n">
        <v>1</v>
      </c>
      <c r="B8" s="18" t="n">
        <f aca="false">IF(A8=הנחות!$B$16,'כתב כמויות'!$H$21,0)</f>
        <v>0</v>
      </c>
      <c r="C8" s="18" t="n">
        <f aca="false">IF(AND(A8&gt;=הנחות!$B$16,A8&lt;הנחות!$B$16+הנחות!$B$17),'כתב כמויות'!$H$22/הנחות!$B$17,0)</f>
        <v>0</v>
      </c>
      <c r="D8" s="18" t="n">
        <f aca="false">IF(A8-ROUND(הנחות!$B$14,0)&gt;=0,INDEX($B$7:$B$73,A8-ROUND(הנחות!$B$14,0)+1)+INDEX($C$7:$C$73,A8-ROUND(הנחות!$B$14,0)+1),0)</f>
        <v>0</v>
      </c>
      <c r="E8" s="18" t="n">
        <f aca="false">-(IF(A8=הנחות!$B$16-1,'כתב כמויות'!$I$21,0)+IF(AND(A8&gt;=הנחות!$B$16,A8&lt;הנחות!$B$16+הנחות!$B$17),'כתב כמויות'!$I$22/הנחות!$B$17,0)+IF(AND(A8&gt;=הנחות!$B$16,A8&lt;הנחות!$B$16+הנחות!$B$12),הנחות!$B$11,0))</f>
        <v>-0</v>
      </c>
      <c r="F8" s="18" t="n">
        <f aca="false">D8+E8</f>
        <v>0</v>
      </c>
      <c r="G8" s="18" t="n">
        <f aca="false">G7+F8</f>
        <v>0</v>
      </c>
    </row>
    <row r="9" customFormat="false" ht="15" hidden="false" customHeight="false" outlineLevel="0" collapsed="false">
      <c r="A9" s="29" t="n">
        <v>2</v>
      </c>
      <c r="B9" s="18" t="n">
        <f aca="false">IF(A9=הנחות!$B$16,'כתב כמויות'!$H$21,0)</f>
        <v>0</v>
      </c>
      <c r="C9" s="18" t="n">
        <f aca="false">IF(AND(A9&gt;=הנחות!$B$16,A9&lt;הנחות!$B$16+הנחות!$B$17),'כתב כמויות'!$H$22/הנחות!$B$17,0)</f>
        <v>0</v>
      </c>
      <c r="D9" s="18" t="n">
        <f aca="false">IF(A9-ROUND(הנחות!$B$14,0)&gt;=0,INDEX($B$7:$B$73,A9-ROUND(הנחות!$B$14,0)+1)+INDEX($C$7:$C$73,A9-ROUND(הנחות!$B$14,0)+1),0)</f>
        <v>0</v>
      </c>
      <c r="E9" s="18" t="n">
        <f aca="false">-(IF(A9=הנחות!$B$16-1,'כתב כמויות'!$I$21,0)+IF(AND(A9&gt;=הנחות!$B$16,A9&lt;הנחות!$B$16+הנחות!$B$17),'כתב כמויות'!$I$22/הנחות!$B$17,0)+IF(AND(A9&gt;=הנחות!$B$16,A9&lt;הנחות!$B$16+הנחות!$B$12),הנחות!$B$11,0))</f>
        <v>-0</v>
      </c>
      <c r="F9" s="18" t="n">
        <f aca="false">D9+E9</f>
        <v>0</v>
      </c>
      <c r="G9" s="18" t="n">
        <f aca="false">G8+F9</f>
        <v>0</v>
      </c>
    </row>
    <row r="10" customFormat="false" ht="15" hidden="false" customHeight="false" outlineLevel="0" collapsed="false">
      <c r="A10" s="29" t="n">
        <v>3</v>
      </c>
      <c r="B10" s="18" t="n">
        <f aca="false">IF(A10=הנחות!$B$16,'כתב כמויות'!$H$21,0)</f>
        <v>0</v>
      </c>
      <c r="C10" s="18" t="n">
        <f aca="false">IF(AND(A10&gt;=הנחות!$B$16,A10&lt;הנחות!$B$16+הנחות!$B$17),'כתב כמויות'!$H$22/הנחות!$B$17,0)</f>
        <v>0</v>
      </c>
      <c r="D10" s="18" t="n">
        <f aca="false">IF(A10-ROUND(הנחות!$B$14,0)&gt;=0,INDEX($B$7:$B$73,A10-ROUND(הנחות!$B$14,0)+1)+INDEX($C$7:$C$73,A10-ROUND(הנחות!$B$14,0)+1),0)</f>
        <v>0</v>
      </c>
      <c r="E10" s="18" t="n">
        <f aca="false">-(IF(A10=הנחות!$B$16-1,'כתב כמויות'!$I$21,0)+IF(AND(A10&gt;=הנחות!$B$16,A10&lt;הנחות!$B$16+הנחות!$B$17),'כתב כמויות'!$I$22/הנחות!$B$17,0)+IF(AND(A10&gt;=הנחות!$B$16,A10&lt;הנחות!$B$16+הנחות!$B$12),הנחות!$B$11,0))</f>
        <v>-1350445.25</v>
      </c>
      <c r="F10" s="18" t="n">
        <f aca="false">D10+E10</f>
        <v>-1350445.25</v>
      </c>
      <c r="G10" s="18" t="n">
        <f aca="false">G9+F10</f>
        <v>-1350445.25</v>
      </c>
    </row>
    <row r="11" customFormat="false" ht="15" hidden="false" customHeight="false" outlineLevel="0" collapsed="false">
      <c r="A11" s="29" t="n">
        <v>4</v>
      </c>
      <c r="B11" s="18" t="n">
        <f aca="false">IF(A11=הנחות!$B$16,'כתב כמויות'!$H$21,0)</f>
        <v>1595980.75</v>
      </c>
      <c r="C11" s="18" t="n">
        <f aca="false">IF(AND(A11&gt;=הנחות!$B$16,A11&lt;הנחות!$B$16+הנחות!$B$17),'כתב כמויות'!$H$22/הנחות!$B$17,0)</f>
        <v>85179.4666666667</v>
      </c>
      <c r="D11" s="18" t="n">
        <f aca="false">IF(A11-ROUND(הנחות!$B$14,0)&gt;=0,INDEX($B$7:$B$73,A11-ROUND(הנחות!$B$14,0)+1)+INDEX($C$7:$C$73,A11-ROUND(הנחות!$B$14,0)+1),0)</f>
        <v>0</v>
      </c>
      <c r="E11" s="18" t="n">
        <f aca="false">-(IF(A11=הנחות!$B$16-1,'כתב כמויות'!$I$21,0)+IF(AND(A11&gt;=הנחות!$B$16,A11&lt;הנחות!$B$16+הנחות!$B$17),'כתב כמויות'!$I$22/הנחות!$B$17,0)+IF(AND(A11&gt;=הנחות!$B$16,A11&lt;הנחות!$B$16+הנחות!$B$12),הנחות!$B$11,0))</f>
        <v>-68522.6666666667</v>
      </c>
      <c r="F11" s="18" t="n">
        <f aca="false">D11+E11</f>
        <v>-68522.6666666667</v>
      </c>
      <c r="G11" s="18" t="n">
        <f aca="false">G10+F11</f>
        <v>-1418967.91666667</v>
      </c>
    </row>
    <row r="12" customFormat="false" ht="15" hidden="false" customHeight="false" outlineLevel="0" collapsed="false">
      <c r="A12" s="29" t="n">
        <v>5</v>
      </c>
      <c r="B12" s="18" t="n">
        <f aca="false">IF(A12=הנחות!$B$16,'כתב כמויות'!$H$21,0)</f>
        <v>0</v>
      </c>
      <c r="C12" s="18" t="n">
        <f aca="false">IF(AND(A12&gt;=הנחות!$B$16,A12&lt;הנחות!$B$16+הנחות!$B$17),'כתב כמויות'!$H$22/הנחות!$B$17,0)</f>
        <v>85179.4666666667</v>
      </c>
      <c r="D12" s="18" t="n">
        <f aca="false">IF(A12-ROUND(הנחות!$B$14,0)&gt;=0,INDEX($B$7:$B$73,A12-ROUND(הנחות!$B$14,0)+1)+INDEX($C$7:$C$73,A12-ROUND(הנחות!$B$14,0)+1),0)</f>
        <v>0</v>
      </c>
      <c r="E12" s="18" t="n">
        <f aca="false">-(IF(A12=הנחות!$B$16-1,'כתב כמויות'!$I$21,0)+IF(AND(A12&gt;=הנחות!$B$16,A12&lt;הנחות!$B$16+הנחות!$B$17),'כתב כמויות'!$I$22/הנחות!$B$17,0)+IF(AND(A12&gt;=הנחות!$B$16,A12&lt;הנחות!$B$16+הנחות!$B$12),הנחות!$B$11,0))</f>
        <v>-68522.6666666667</v>
      </c>
      <c r="F12" s="18" t="n">
        <f aca="false">D12+E12</f>
        <v>-68522.6666666667</v>
      </c>
      <c r="G12" s="18" t="n">
        <f aca="false">G11+F12</f>
        <v>-1487490.58333333</v>
      </c>
    </row>
    <row r="13" customFormat="false" ht="15" hidden="false" customHeight="false" outlineLevel="0" collapsed="false">
      <c r="A13" s="29" t="n">
        <v>6</v>
      </c>
      <c r="B13" s="18" t="n">
        <f aca="false">IF(A13=הנחות!$B$16,'כתב כמויות'!$H$21,0)</f>
        <v>0</v>
      </c>
      <c r="C13" s="18" t="n">
        <f aca="false">IF(AND(A13&gt;=הנחות!$B$16,A13&lt;הנחות!$B$16+הנחות!$B$17),'כתב כמויות'!$H$22/הנחות!$B$17,0)</f>
        <v>85179.4666666667</v>
      </c>
      <c r="D13" s="18" t="n">
        <f aca="false">IF(A13-ROUND(הנחות!$B$14,0)&gt;=0,INDEX($B$7:$B$73,A13-ROUND(הנחות!$B$14,0)+1)+INDEX($C$7:$C$73,A13-ROUND(הנחות!$B$14,0)+1),0)</f>
        <v>0</v>
      </c>
      <c r="E13" s="18" t="n">
        <f aca="false">-(IF(A13=הנחות!$B$16-1,'כתב כמויות'!$I$21,0)+IF(AND(A13&gt;=הנחות!$B$16,A13&lt;הנחות!$B$16+הנחות!$B$17),'כתב כמויות'!$I$22/הנחות!$B$17,0)+IF(AND(A13&gt;=הנחות!$B$16,A13&lt;הנחות!$B$16+הנחות!$B$12),הנחות!$B$11,0))</f>
        <v>-68522.6666666667</v>
      </c>
      <c r="F13" s="18" t="n">
        <f aca="false">D13+E13</f>
        <v>-68522.6666666667</v>
      </c>
      <c r="G13" s="18" t="n">
        <f aca="false">G12+F13</f>
        <v>-1556013.25</v>
      </c>
    </row>
    <row r="14" customFormat="false" ht="15" hidden="false" customHeight="false" outlineLevel="0" collapsed="false">
      <c r="A14" s="29" t="n">
        <v>7</v>
      </c>
      <c r="B14" s="18" t="n">
        <f aca="false">IF(A14=הנחות!$B$16,'כתב כמויות'!$H$21,0)</f>
        <v>0</v>
      </c>
      <c r="C14" s="18" t="n">
        <f aca="false">IF(AND(A14&gt;=הנחות!$B$16,A14&lt;הנחות!$B$16+הנחות!$B$17),'כתב כמויות'!$H$22/הנחות!$B$17,0)</f>
        <v>85179.4666666667</v>
      </c>
      <c r="D14" s="18" t="n">
        <f aca="false">IF(A14-ROUND(הנחות!$B$14,0)&gt;=0,INDEX($B$7:$B$73,A14-ROUND(הנחות!$B$14,0)+1)+INDEX($C$7:$C$73,A14-ROUND(הנחות!$B$14,0)+1),0)</f>
        <v>1681160.21666667</v>
      </c>
      <c r="E14" s="18" t="n">
        <f aca="false">-(IF(A14=הנחות!$B$16-1,'כתב כמויות'!$I$21,0)+IF(AND(A14&gt;=הנחות!$B$16,A14&lt;הנחות!$B$16+הנחות!$B$17),'כתב כמויות'!$I$22/הנחות!$B$17,0)+IF(AND(A14&gt;=הנחות!$B$16,A14&lt;הנחות!$B$16+הנחות!$B$12),הנחות!$B$11,0))</f>
        <v>-68522.6666666667</v>
      </c>
      <c r="F14" s="18" t="n">
        <f aca="false">D14+E14</f>
        <v>1612637.55</v>
      </c>
      <c r="G14" s="18" t="n">
        <f aca="false">G13+F14</f>
        <v>56624.2999999998</v>
      </c>
    </row>
    <row r="15" customFormat="false" ht="15" hidden="false" customHeight="false" outlineLevel="0" collapsed="false">
      <c r="A15" s="29" t="n">
        <v>8</v>
      </c>
      <c r="B15" s="18" t="n">
        <f aca="false">IF(A15=הנחות!$B$16,'כתב כמויות'!$H$21,0)</f>
        <v>0</v>
      </c>
      <c r="C15" s="18" t="n">
        <f aca="false">IF(AND(A15&gt;=הנחות!$B$16,A15&lt;הנחות!$B$16+הנחות!$B$17),'כתב כמויות'!$H$22/הנחות!$B$17,0)</f>
        <v>85179.4666666667</v>
      </c>
      <c r="D15" s="18" t="n">
        <f aca="false">IF(A15-ROUND(הנחות!$B$14,0)&gt;=0,INDEX($B$7:$B$73,A15-ROUND(הנחות!$B$14,0)+1)+INDEX($C$7:$C$73,A15-ROUND(הנחות!$B$14,0)+1),0)</f>
        <v>85179.4666666667</v>
      </c>
      <c r="E15" s="18" t="n">
        <f aca="false">-(IF(A15=הנחות!$B$16-1,'כתב כמויות'!$I$21,0)+IF(AND(A15&gt;=הנחות!$B$16,A15&lt;הנחות!$B$16+הנחות!$B$17),'כתב כמויות'!$I$22/הנחות!$B$17,0)+IF(AND(A15&gt;=הנחות!$B$16,A15&lt;הנחות!$B$16+הנחות!$B$12),הנחות!$B$11,0))</f>
        <v>-68522.6666666667</v>
      </c>
      <c r="F15" s="18" t="n">
        <f aca="false">D15+E15</f>
        <v>16656.8</v>
      </c>
      <c r="G15" s="18" t="n">
        <f aca="false">G14+F15</f>
        <v>73281.0999999998</v>
      </c>
    </row>
    <row r="16" customFormat="false" ht="15" hidden="false" customHeight="false" outlineLevel="0" collapsed="false">
      <c r="A16" s="29" t="n">
        <v>9</v>
      </c>
      <c r="B16" s="18" t="n">
        <f aca="false">IF(A16=הנחות!$B$16,'כתב כמויות'!$H$21,0)</f>
        <v>0</v>
      </c>
      <c r="C16" s="18" t="n">
        <f aca="false">IF(AND(A16&gt;=הנחות!$B$16,A16&lt;הנחות!$B$16+הנחות!$B$17),'כתב כמויות'!$H$22/הנחות!$B$17,0)</f>
        <v>85179.4666666667</v>
      </c>
      <c r="D16" s="18" t="n">
        <f aca="false">IF(A16-ROUND(הנחות!$B$14,0)&gt;=0,INDEX($B$7:$B$73,A16-ROUND(הנחות!$B$14,0)+1)+INDEX($C$7:$C$73,A16-ROUND(הנחות!$B$14,0)+1),0)</f>
        <v>85179.4666666667</v>
      </c>
      <c r="E16" s="18" t="n">
        <f aca="false">-(IF(A16=הנחות!$B$16-1,'כתב כמויות'!$I$21,0)+IF(AND(A16&gt;=הנחות!$B$16,A16&lt;הנחות!$B$16+הנחות!$B$17),'כתב כמויות'!$I$22/הנחות!$B$17,0)+IF(AND(A16&gt;=הנחות!$B$16,A16&lt;הנחות!$B$16+הנחות!$B$12),הנחות!$B$11,0))</f>
        <v>-68522.6666666667</v>
      </c>
      <c r="F16" s="18" t="n">
        <f aca="false">D16+E16</f>
        <v>16656.8</v>
      </c>
      <c r="G16" s="18" t="n">
        <f aca="false">G15+F16</f>
        <v>89937.8999999998</v>
      </c>
    </row>
    <row r="17" customFormat="false" ht="15" hidden="false" customHeight="false" outlineLevel="0" collapsed="false">
      <c r="A17" s="29" t="n">
        <v>10</v>
      </c>
      <c r="B17" s="18" t="n">
        <f aca="false">IF(A17=הנחות!$B$16,'כתב כמויות'!$H$21,0)</f>
        <v>0</v>
      </c>
      <c r="C17" s="18" t="n">
        <f aca="false">IF(AND(A17&gt;=הנחות!$B$16,A17&lt;הנחות!$B$16+הנחות!$B$17),'כתב כמויות'!$H$22/הנחות!$B$17,0)</f>
        <v>0</v>
      </c>
      <c r="D17" s="18" t="n">
        <f aca="false">IF(A17-ROUND(הנחות!$B$14,0)&gt;=0,INDEX($B$7:$B$73,A17-ROUND(הנחות!$B$14,0)+1)+INDEX($C$7:$C$73,A17-ROUND(הנחות!$B$14,0)+1),0)</f>
        <v>85179.4666666667</v>
      </c>
      <c r="E17" s="18" t="n">
        <f aca="false">-(IF(A17=הנחות!$B$16-1,'כתב כמויות'!$I$21,0)+IF(AND(A17&gt;=הנחות!$B$16,A17&lt;הנחות!$B$16+הנחות!$B$17),'כתב כמויות'!$I$22/הנחות!$B$17,0)+IF(AND(A17&gt;=הנחות!$B$16,A17&lt;הנחות!$B$16+הנחות!$B$12),הנחות!$B$11,0))</f>
        <v>-3000</v>
      </c>
      <c r="F17" s="18" t="n">
        <f aca="false">D17+E17</f>
        <v>82179.4666666667</v>
      </c>
      <c r="G17" s="18" t="n">
        <f aca="false">G16+F17</f>
        <v>172117.366666666</v>
      </c>
    </row>
    <row r="18" customFormat="false" ht="15" hidden="false" customHeight="false" outlineLevel="0" collapsed="false">
      <c r="A18" s="29" t="n">
        <v>11</v>
      </c>
      <c r="B18" s="18" t="n">
        <f aca="false">IF(A18=הנחות!$B$16,'כתב כמויות'!$H$21,0)</f>
        <v>0</v>
      </c>
      <c r="C18" s="18" t="n">
        <f aca="false">IF(AND(A18&gt;=הנחות!$B$16,A18&lt;הנחות!$B$16+הנחות!$B$17),'כתב כמויות'!$H$22/הנחות!$B$17,0)</f>
        <v>0</v>
      </c>
      <c r="D18" s="18" t="n">
        <f aca="false">IF(A18-ROUND(הנחות!$B$14,0)&gt;=0,INDEX($B$7:$B$73,A18-ROUND(הנחות!$B$14,0)+1)+INDEX($C$7:$C$73,A18-ROUND(הנחות!$B$14,0)+1),0)</f>
        <v>85179.4666666667</v>
      </c>
      <c r="E18" s="18" t="n">
        <f aca="false">-(IF(A18=הנחות!$B$16-1,'כתב כמויות'!$I$21,0)+IF(AND(A18&gt;=הנחות!$B$16,A18&lt;הנחות!$B$16+הנחות!$B$17),'כתב כמויות'!$I$22/הנחות!$B$17,0)+IF(AND(A18&gt;=הנחות!$B$16,A18&lt;הנחות!$B$16+הנחות!$B$12),הנחות!$B$11,0))</f>
        <v>-3000</v>
      </c>
      <c r="F18" s="18" t="n">
        <f aca="false">D18+E18</f>
        <v>82179.4666666667</v>
      </c>
      <c r="G18" s="18" t="n">
        <f aca="false">G17+F18</f>
        <v>254296.833333333</v>
      </c>
    </row>
    <row r="19" customFormat="false" ht="15" hidden="false" customHeight="false" outlineLevel="0" collapsed="false">
      <c r="A19" s="29" t="n">
        <v>12</v>
      </c>
      <c r="B19" s="18" t="n">
        <f aca="false">IF(A19=הנחות!$B$16,'כתב כמויות'!$H$21,0)</f>
        <v>0</v>
      </c>
      <c r="C19" s="18" t="n">
        <f aca="false">IF(AND(A19&gt;=הנחות!$B$16,A19&lt;הנחות!$B$16+הנחות!$B$17),'כתב כמויות'!$H$22/הנחות!$B$17,0)</f>
        <v>0</v>
      </c>
      <c r="D19" s="18" t="n">
        <f aca="false">IF(A19-ROUND(הנחות!$B$14,0)&gt;=0,INDEX($B$7:$B$73,A19-ROUND(הנחות!$B$14,0)+1)+INDEX($C$7:$C$73,A19-ROUND(הנחות!$B$14,0)+1),0)</f>
        <v>85179.4666666667</v>
      </c>
      <c r="E19" s="18" t="n">
        <f aca="false">-(IF(A19=הנחות!$B$16-1,'כתב כמויות'!$I$21,0)+IF(AND(A19&gt;=הנחות!$B$16,A19&lt;הנחות!$B$16+הנחות!$B$17),'כתב כמויות'!$I$22/הנחות!$B$17,0)+IF(AND(A19&gt;=הנחות!$B$16,A19&lt;הנחות!$B$16+הנחות!$B$12),הנחות!$B$11,0))</f>
        <v>-3000</v>
      </c>
      <c r="F19" s="18" t="n">
        <f aca="false">D19+E19</f>
        <v>82179.4666666667</v>
      </c>
      <c r="G19" s="18" t="n">
        <f aca="false">G18+F19</f>
        <v>336476.3</v>
      </c>
    </row>
    <row r="20" customFormat="false" ht="15" hidden="false" customHeight="false" outlineLevel="0" collapsed="false">
      <c r="A20" s="29" t="n">
        <v>13</v>
      </c>
      <c r="B20" s="18" t="n">
        <f aca="false">IF(A20=הנחות!$B$16,'כתב כמויות'!$H$21,0)</f>
        <v>0</v>
      </c>
      <c r="C20" s="18" t="n">
        <f aca="false">IF(AND(A20&gt;=הנחות!$B$16,A20&lt;הנחות!$B$16+הנחות!$B$17),'כתב כמויות'!$H$22/הנחות!$B$17,0)</f>
        <v>0</v>
      </c>
      <c r="D20" s="18" t="n">
        <f aca="false">IF(A20-ROUND(הנחות!$B$14,0)&gt;=0,INDEX($B$7:$B$73,A20-ROUND(הנחות!$B$14,0)+1)+INDEX($C$7:$C$73,A20-ROUND(הנחות!$B$14,0)+1),0)</f>
        <v>0</v>
      </c>
      <c r="E20" s="18" t="n">
        <f aca="false">-(IF(A20=הנחות!$B$16-1,'כתב כמויות'!$I$21,0)+IF(AND(A20&gt;=הנחות!$B$16,A20&lt;הנחות!$B$16+הנחות!$B$17),'כתב כמויות'!$I$22/הנחות!$B$17,0)+IF(AND(A20&gt;=הנחות!$B$16,A20&lt;הנחות!$B$16+הנחות!$B$12),הנחות!$B$11,0))</f>
        <v>-3000</v>
      </c>
      <c r="F20" s="18" t="n">
        <f aca="false">D20+E20</f>
        <v>-3000</v>
      </c>
      <c r="G20" s="18" t="n">
        <f aca="false">G19+F20</f>
        <v>333476.3</v>
      </c>
    </row>
    <row r="21" customFormat="false" ht="15" hidden="false" customHeight="false" outlineLevel="0" collapsed="false">
      <c r="A21" s="29" t="n">
        <v>14</v>
      </c>
      <c r="B21" s="18" t="n">
        <f aca="false">IF(A21=הנחות!$B$16,'כתב כמויות'!$H$21,0)</f>
        <v>0</v>
      </c>
      <c r="C21" s="18" t="n">
        <f aca="false">IF(AND(A21&gt;=הנחות!$B$16,A21&lt;הנחות!$B$16+הנחות!$B$17),'כתב כמויות'!$H$22/הנחות!$B$17,0)</f>
        <v>0</v>
      </c>
      <c r="D21" s="18" t="n">
        <f aca="false">IF(A21-ROUND(הנחות!$B$14,0)&gt;=0,INDEX($B$7:$B$73,A21-ROUND(הנחות!$B$14,0)+1)+INDEX($C$7:$C$73,A21-ROUND(הנחות!$B$14,0)+1),0)</f>
        <v>0</v>
      </c>
      <c r="E21" s="18" t="n">
        <f aca="false">-(IF(A21=הנחות!$B$16-1,'כתב כמויות'!$I$21,0)+IF(AND(A21&gt;=הנחות!$B$16,A21&lt;הנחות!$B$16+הנחות!$B$17),'כתב כמויות'!$I$22/הנחות!$B$17,0)+IF(AND(A21&gt;=הנחות!$B$16,A21&lt;הנחות!$B$16+הנחות!$B$12),הנחות!$B$11,0))</f>
        <v>-3000</v>
      </c>
      <c r="F21" s="18" t="n">
        <f aca="false">D21+E21</f>
        <v>-3000</v>
      </c>
      <c r="G21" s="18" t="n">
        <f aca="false">G20+F21</f>
        <v>330476.3</v>
      </c>
    </row>
    <row r="22" customFormat="false" ht="15" hidden="false" customHeight="false" outlineLevel="0" collapsed="false">
      <c r="A22" s="29" t="n">
        <v>15</v>
      </c>
      <c r="B22" s="18" t="n">
        <f aca="false">IF(A22=הנחות!$B$16,'כתב כמויות'!$H$21,0)</f>
        <v>0</v>
      </c>
      <c r="C22" s="18" t="n">
        <f aca="false">IF(AND(A22&gt;=הנחות!$B$16,A22&lt;הנחות!$B$16+הנחות!$B$17),'כתב כמויות'!$H$22/הנחות!$B$17,0)</f>
        <v>0</v>
      </c>
      <c r="D22" s="18" t="n">
        <f aca="false">IF(A22-ROUND(הנחות!$B$14,0)&gt;=0,INDEX($B$7:$B$73,A22-ROUND(הנחות!$B$14,0)+1)+INDEX($C$7:$C$73,A22-ROUND(הנחות!$B$14,0)+1),0)</f>
        <v>0</v>
      </c>
      <c r="E22" s="18" t="n">
        <f aca="false">-(IF(A22=הנחות!$B$16-1,'כתב כמויות'!$I$21,0)+IF(AND(A22&gt;=הנחות!$B$16,A22&lt;הנחות!$B$16+הנחות!$B$17),'כתב כמויות'!$I$22/הנחות!$B$17,0)+IF(AND(A22&gt;=הנחות!$B$16,A22&lt;הנחות!$B$16+הנחות!$B$12),הנחות!$B$11,0))</f>
        <v>-3000</v>
      </c>
      <c r="F22" s="18" t="n">
        <f aca="false">D22+E22</f>
        <v>-3000</v>
      </c>
      <c r="G22" s="18" t="n">
        <f aca="false">G21+F22</f>
        <v>327476.3</v>
      </c>
    </row>
    <row r="23" customFormat="false" ht="15" hidden="false" customHeight="false" outlineLevel="0" collapsed="false">
      <c r="A23" s="29" t="n">
        <v>16</v>
      </c>
      <c r="B23" s="18" t="n">
        <f aca="false">IF(A23=הנחות!$B$16,'כתב כמויות'!$H$21,0)</f>
        <v>0</v>
      </c>
      <c r="C23" s="18" t="n">
        <f aca="false">IF(AND(A23&gt;=הנחות!$B$16,A23&lt;הנחות!$B$16+הנחות!$B$17),'כתב כמויות'!$H$22/הנחות!$B$17,0)</f>
        <v>0</v>
      </c>
      <c r="D23" s="18" t="n">
        <f aca="false">IF(A23-ROUND(הנחות!$B$14,0)&gt;=0,INDEX($B$7:$B$73,A23-ROUND(הנחות!$B$14,0)+1)+INDEX($C$7:$C$73,A23-ROUND(הנחות!$B$14,0)+1),0)</f>
        <v>0</v>
      </c>
      <c r="E23" s="18" t="n">
        <f aca="false">-(IF(A23=הנחות!$B$16-1,'כתב כמויות'!$I$21,0)+IF(AND(A23&gt;=הנחות!$B$16,A23&lt;הנחות!$B$16+הנחות!$B$17),'כתב כמויות'!$I$22/הנחות!$B$17,0)+IF(AND(A23&gt;=הנחות!$B$16,A23&lt;הנחות!$B$16+הנחות!$B$12),הנחות!$B$11,0))</f>
        <v>-3000</v>
      </c>
      <c r="F23" s="18" t="n">
        <f aca="false">D23+E23</f>
        <v>-3000</v>
      </c>
      <c r="G23" s="18" t="n">
        <f aca="false">G22+F23</f>
        <v>324476.3</v>
      </c>
    </row>
    <row r="24" customFormat="false" ht="15" hidden="false" customHeight="false" outlineLevel="0" collapsed="false">
      <c r="A24" s="29" t="n">
        <v>17</v>
      </c>
      <c r="B24" s="18" t="n">
        <f aca="false">IF(A24=הנחות!$B$16,'כתב כמויות'!$H$21,0)</f>
        <v>0</v>
      </c>
      <c r="C24" s="18" t="n">
        <f aca="false">IF(AND(A24&gt;=הנחות!$B$16,A24&lt;הנחות!$B$16+הנחות!$B$17),'כתב כמויות'!$H$22/הנחות!$B$17,0)</f>
        <v>0</v>
      </c>
      <c r="D24" s="18" t="n">
        <f aca="false">IF(A24-ROUND(הנחות!$B$14,0)&gt;=0,INDEX($B$7:$B$73,A24-ROUND(הנחות!$B$14,0)+1)+INDEX($C$7:$C$73,A24-ROUND(הנחות!$B$14,0)+1),0)</f>
        <v>0</v>
      </c>
      <c r="E24" s="18" t="n">
        <f aca="false">-(IF(A24=הנחות!$B$16-1,'כתב כמויות'!$I$21,0)+IF(AND(A24&gt;=הנחות!$B$16,A24&lt;הנחות!$B$16+הנחות!$B$17),'כתב כמויות'!$I$22/הנחות!$B$17,0)+IF(AND(A24&gt;=הנחות!$B$16,A24&lt;הנחות!$B$16+הנחות!$B$12),הנחות!$B$11,0))</f>
        <v>-3000</v>
      </c>
      <c r="F24" s="18" t="n">
        <f aca="false">D24+E24</f>
        <v>-3000</v>
      </c>
      <c r="G24" s="18" t="n">
        <f aca="false">G23+F24</f>
        <v>321476.3</v>
      </c>
    </row>
    <row r="25" customFormat="false" ht="15" hidden="false" customHeight="false" outlineLevel="0" collapsed="false">
      <c r="A25" s="29" t="n">
        <v>18</v>
      </c>
      <c r="B25" s="18" t="n">
        <f aca="false">IF(A25=הנחות!$B$16,'כתב כמויות'!$H$21,0)</f>
        <v>0</v>
      </c>
      <c r="C25" s="18" t="n">
        <f aca="false">IF(AND(A25&gt;=הנחות!$B$16,A25&lt;הנחות!$B$16+הנחות!$B$17),'כתב כמויות'!$H$22/הנחות!$B$17,0)</f>
        <v>0</v>
      </c>
      <c r="D25" s="18" t="n">
        <f aca="false">IF(A25-ROUND(הנחות!$B$14,0)&gt;=0,INDEX($B$7:$B$73,A25-ROUND(הנחות!$B$14,0)+1)+INDEX($C$7:$C$73,A25-ROUND(הנחות!$B$14,0)+1),0)</f>
        <v>0</v>
      </c>
      <c r="E25" s="18" t="n">
        <f aca="false">-(IF(A25=הנחות!$B$16-1,'כתב כמויות'!$I$21,0)+IF(AND(A25&gt;=הנחות!$B$16,A25&lt;הנחות!$B$16+הנחות!$B$17),'כתב כמויות'!$I$22/הנחות!$B$17,0)+IF(AND(A25&gt;=הנחות!$B$16,A25&lt;הנחות!$B$16+הנחות!$B$12),הנחות!$B$11,0))</f>
        <v>-3000</v>
      </c>
      <c r="F25" s="18" t="n">
        <f aca="false">D25+E25</f>
        <v>-3000</v>
      </c>
      <c r="G25" s="18" t="n">
        <f aca="false">G24+F25</f>
        <v>318476.3</v>
      </c>
    </row>
    <row r="26" customFormat="false" ht="15" hidden="false" customHeight="false" outlineLevel="0" collapsed="false">
      <c r="A26" s="29" t="n">
        <v>19</v>
      </c>
      <c r="B26" s="18" t="n">
        <f aca="false">IF(A26=הנחות!$B$16,'כתב כמויות'!$H$21,0)</f>
        <v>0</v>
      </c>
      <c r="C26" s="18" t="n">
        <f aca="false">IF(AND(A26&gt;=הנחות!$B$16,A26&lt;הנחות!$B$16+הנחות!$B$17),'כתב כמויות'!$H$22/הנחות!$B$17,0)</f>
        <v>0</v>
      </c>
      <c r="D26" s="18" t="n">
        <f aca="false">IF(A26-ROUND(הנחות!$B$14,0)&gt;=0,INDEX($B$7:$B$73,A26-ROUND(הנחות!$B$14,0)+1)+INDEX($C$7:$C$73,A26-ROUND(הנחות!$B$14,0)+1),0)</f>
        <v>0</v>
      </c>
      <c r="E26" s="18" t="n">
        <f aca="false">-(IF(A26=הנחות!$B$16-1,'כתב כמויות'!$I$21,0)+IF(AND(A26&gt;=הנחות!$B$16,A26&lt;הנחות!$B$16+הנחות!$B$17),'כתב כמויות'!$I$22/הנחות!$B$17,0)+IF(AND(A26&gt;=הנחות!$B$16,A26&lt;הנחות!$B$16+הנחות!$B$12),הנחות!$B$11,0))</f>
        <v>-3000</v>
      </c>
      <c r="F26" s="18" t="n">
        <f aca="false">D26+E26</f>
        <v>-3000</v>
      </c>
      <c r="G26" s="18" t="n">
        <f aca="false">G25+F26</f>
        <v>315476.3</v>
      </c>
    </row>
    <row r="27" customFormat="false" ht="15" hidden="false" customHeight="false" outlineLevel="0" collapsed="false">
      <c r="A27" s="29" t="n">
        <v>20</v>
      </c>
      <c r="B27" s="18" t="n">
        <f aca="false">IF(A27=הנחות!$B$16,'כתב כמויות'!$H$21,0)</f>
        <v>0</v>
      </c>
      <c r="C27" s="18" t="n">
        <f aca="false">IF(AND(A27&gt;=הנחות!$B$16,A27&lt;הנחות!$B$16+הנחות!$B$17),'כתב כמויות'!$H$22/הנחות!$B$17,0)</f>
        <v>0</v>
      </c>
      <c r="D27" s="18" t="n">
        <f aca="false">IF(A27-ROUND(הנחות!$B$14,0)&gt;=0,INDEX($B$7:$B$73,A27-ROUND(הנחות!$B$14,0)+1)+INDEX($C$7:$C$73,A27-ROUND(הנחות!$B$14,0)+1),0)</f>
        <v>0</v>
      </c>
      <c r="E27" s="18" t="n">
        <f aca="false">-(IF(A27=הנחות!$B$16-1,'כתב כמויות'!$I$21,0)+IF(AND(A27&gt;=הנחות!$B$16,A27&lt;הנחות!$B$16+הנחות!$B$17),'כתב כמויות'!$I$22/הנחות!$B$17,0)+IF(AND(A27&gt;=הנחות!$B$16,A27&lt;הנחות!$B$16+הנחות!$B$12),הנחות!$B$11,0))</f>
        <v>-3000</v>
      </c>
      <c r="F27" s="18" t="n">
        <f aca="false">D27+E27</f>
        <v>-3000</v>
      </c>
      <c r="G27" s="18" t="n">
        <f aca="false">G26+F27</f>
        <v>312476.3</v>
      </c>
    </row>
    <row r="28" customFormat="false" ht="15" hidden="false" customHeight="false" outlineLevel="0" collapsed="false">
      <c r="A28" s="29" t="n">
        <v>21</v>
      </c>
      <c r="B28" s="18" t="n">
        <f aca="false">IF(A28=הנחות!$B$16,'כתב כמויות'!$H$21,0)</f>
        <v>0</v>
      </c>
      <c r="C28" s="18" t="n">
        <f aca="false">IF(AND(A28&gt;=הנחות!$B$16,A28&lt;הנחות!$B$16+הנחות!$B$17),'כתב כמויות'!$H$22/הנחות!$B$17,0)</f>
        <v>0</v>
      </c>
      <c r="D28" s="18" t="n">
        <f aca="false">IF(A28-ROUND(הנחות!$B$14,0)&gt;=0,INDEX($B$7:$B$73,A28-ROUND(הנחות!$B$14,0)+1)+INDEX($C$7:$C$73,A28-ROUND(הנחות!$B$14,0)+1),0)</f>
        <v>0</v>
      </c>
      <c r="E28" s="18" t="n">
        <f aca="false">-(IF(A28=הנחות!$B$16-1,'כתב כמויות'!$I$21,0)+IF(AND(A28&gt;=הנחות!$B$16,A28&lt;הנחות!$B$16+הנחות!$B$17),'כתב כמויות'!$I$22/הנחות!$B$17,0)+IF(AND(A28&gt;=הנחות!$B$16,A28&lt;הנחות!$B$16+הנחות!$B$12),הנחות!$B$11,0))</f>
        <v>-3000</v>
      </c>
      <c r="F28" s="18" t="n">
        <f aca="false">D28+E28</f>
        <v>-3000</v>
      </c>
      <c r="G28" s="18" t="n">
        <f aca="false">G27+F28</f>
        <v>309476.3</v>
      </c>
    </row>
    <row r="29" customFormat="false" ht="15" hidden="false" customHeight="false" outlineLevel="0" collapsed="false">
      <c r="A29" s="29" t="n">
        <v>22</v>
      </c>
      <c r="B29" s="18" t="n">
        <f aca="false">IF(A29=הנחות!$B$16,'כתב כמויות'!$H$21,0)</f>
        <v>0</v>
      </c>
      <c r="C29" s="18" t="n">
        <f aca="false">IF(AND(A29&gt;=הנחות!$B$16,A29&lt;הנחות!$B$16+הנחות!$B$17),'כתב כמויות'!$H$22/הנחות!$B$17,0)</f>
        <v>0</v>
      </c>
      <c r="D29" s="18" t="n">
        <f aca="false">IF(A29-ROUND(הנחות!$B$14,0)&gt;=0,INDEX($B$7:$B$73,A29-ROUND(הנחות!$B$14,0)+1)+INDEX($C$7:$C$73,A29-ROUND(הנחות!$B$14,0)+1),0)</f>
        <v>0</v>
      </c>
      <c r="E29" s="18" t="n">
        <f aca="false">-(IF(A29=הנחות!$B$16-1,'כתב כמויות'!$I$21,0)+IF(AND(A29&gt;=הנחות!$B$16,A29&lt;הנחות!$B$16+הנחות!$B$17),'כתב כמויות'!$I$22/הנחות!$B$17,0)+IF(AND(A29&gt;=הנחות!$B$16,A29&lt;הנחות!$B$16+הנחות!$B$12),הנחות!$B$11,0))</f>
        <v>-3000</v>
      </c>
      <c r="F29" s="18" t="n">
        <f aca="false">D29+E29</f>
        <v>-3000</v>
      </c>
      <c r="G29" s="18" t="n">
        <f aca="false">G28+F29</f>
        <v>306476.3</v>
      </c>
    </row>
    <row r="30" customFormat="false" ht="15" hidden="false" customHeight="false" outlineLevel="0" collapsed="false">
      <c r="A30" s="29" t="n">
        <v>23</v>
      </c>
      <c r="B30" s="18" t="n">
        <f aca="false">IF(A30=הנחות!$B$16,'כתב כמויות'!$H$21,0)</f>
        <v>0</v>
      </c>
      <c r="C30" s="18" t="n">
        <f aca="false">IF(AND(A30&gt;=הנחות!$B$16,A30&lt;הנחות!$B$16+הנחות!$B$17),'כתב כמויות'!$H$22/הנחות!$B$17,0)</f>
        <v>0</v>
      </c>
      <c r="D30" s="18" t="n">
        <f aca="false">IF(A30-ROUND(הנחות!$B$14,0)&gt;=0,INDEX($B$7:$B$73,A30-ROUND(הנחות!$B$14,0)+1)+INDEX($C$7:$C$73,A30-ROUND(הנחות!$B$14,0)+1),0)</f>
        <v>0</v>
      </c>
      <c r="E30" s="18" t="n">
        <f aca="false">-(IF(A30=הנחות!$B$16-1,'כתב כמויות'!$I$21,0)+IF(AND(A30&gt;=הנחות!$B$16,A30&lt;הנחות!$B$16+הנחות!$B$17),'כתב כמויות'!$I$22/הנחות!$B$17,0)+IF(AND(A30&gt;=הנחות!$B$16,A30&lt;הנחות!$B$16+הנחות!$B$12),הנחות!$B$11,0))</f>
        <v>-3000</v>
      </c>
      <c r="F30" s="18" t="n">
        <f aca="false">D30+E30</f>
        <v>-3000</v>
      </c>
      <c r="G30" s="18" t="n">
        <f aca="false">G29+F30</f>
        <v>303476.3</v>
      </c>
    </row>
    <row r="31" customFormat="false" ht="15" hidden="false" customHeight="false" outlineLevel="0" collapsed="false">
      <c r="A31" s="29" t="n">
        <v>24</v>
      </c>
      <c r="B31" s="18" t="n">
        <f aca="false">IF(A31=הנחות!$B$16,'כתב כמויות'!$H$21,0)</f>
        <v>0</v>
      </c>
      <c r="C31" s="18" t="n">
        <f aca="false">IF(AND(A31&gt;=הנחות!$B$16,A31&lt;הנחות!$B$16+הנחות!$B$17),'כתב כמויות'!$H$22/הנחות!$B$17,0)</f>
        <v>0</v>
      </c>
      <c r="D31" s="18" t="n">
        <f aca="false">IF(A31-ROUND(הנחות!$B$14,0)&gt;=0,INDEX($B$7:$B$73,A31-ROUND(הנחות!$B$14,0)+1)+INDEX($C$7:$C$73,A31-ROUND(הנחות!$B$14,0)+1),0)</f>
        <v>0</v>
      </c>
      <c r="E31" s="18" t="n">
        <f aca="false">-(IF(A31=הנחות!$B$16-1,'כתב כמויות'!$I$21,0)+IF(AND(A31&gt;=הנחות!$B$16,A31&lt;הנחות!$B$16+הנחות!$B$17),'כתב כמויות'!$I$22/הנחות!$B$17,0)+IF(AND(A31&gt;=הנחות!$B$16,A31&lt;הנחות!$B$16+הנחות!$B$12),הנחות!$B$11,0))</f>
        <v>-3000</v>
      </c>
      <c r="F31" s="18" t="n">
        <f aca="false">D31+E31</f>
        <v>-3000</v>
      </c>
      <c r="G31" s="18" t="n">
        <f aca="false">G30+F31</f>
        <v>300476.3</v>
      </c>
    </row>
    <row r="32" customFormat="false" ht="15" hidden="false" customHeight="false" outlineLevel="0" collapsed="false">
      <c r="A32" s="29" t="n">
        <v>25</v>
      </c>
      <c r="B32" s="18" t="n">
        <f aca="false">IF(A32=הנחות!$B$16,'כתב כמויות'!$H$21,0)</f>
        <v>0</v>
      </c>
      <c r="C32" s="18" t="n">
        <f aca="false">IF(AND(A32&gt;=הנחות!$B$16,A32&lt;הנחות!$B$16+הנחות!$B$17),'כתב כמויות'!$H$22/הנחות!$B$17,0)</f>
        <v>0</v>
      </c>
      <c r="D32" s="18" t="n">
        <f aca="false">IF(A32-ROUND(הנחות!$B$14,0)&gt;=0,INDEX($B$7:$B$73,A32-ROUND(הנחות!$B$14,0)+1)+INDEX($C$7:$C$73,A32-ROUND(הנחות!$B$14,0)+1),0)</f>
        <v>0</v>
      </c>
      <c r="E32" s="18" t="n">
        <f aca="false">-(IF(A32=הנחות!$B$16-1,'כתב כמויות'!$I$21,0)+IF(AND(A32&gt;=הנחות!$B$16,A32&lt;הנחות!$B$16+הנחות!$B$17),'כתב כמויות'!$I$22/הנחות!$B$17,0)+IF(AND(A32&gt;=הנחות!$B$16,A32&lt;הנחות!$B$16+הנחות!$B$12),הנחות!$B$11,0))</f>
        <v>-3000</v>
      </c>
      <c r="F32" s="18" t="n">
        <f aca="false">D32+E32</f>
        <v>-3000</v>
      </c>
      <c r="G32" s="18" t="n">
        <f aca="false">G31+F32</f>
        <v>297476.3</v>
      </c>
    </row>
    <row r="33" customFormat="false" ht="15" hidden="false" customHeight="false" outlineLevel="0" collapsed="false">
      <c r="A33" s="29" t="n">
        <v>26</v>
      </c>
      <c r="B33" s="18" t="n">
        <f aca="false">IF(A33=הנחות!$B$16,'כתב כמויות'!$H$21,0)</f>
        <v>0</v>
      </c>
      <c r="C33" s="18" t="n">
        <f aca="false">IF(AND(A33&gt;=הנחות!$B$16,A33&lt;הנחות!$B$16+הנחות!$B$17),'כתב כמויות'!$H$22/הנחות!$B$17,0)</f>
        <v>0</v>
      </c>
      <c r="D33" s="18" t="n">
        <f aca="false">IF(A33-ROUND(הנחות!$B$14,0)&gt;=0,INDEX($B$7:$B$73,A33-ROUND(הנחות!$B$14,0)+1)+INDEX($C$7:$C$73,A33-ROUND(הנחות!$B$14,0)+1),0)</f>
        <v>0</v>
      </c>
      <c r="E33" s="18" t="n">
        <f aca="false">-(IF(A33=הנחות!$B$16-1,'כתב כמויות'!$I$21,0)+IF(AND(A33&gt;=הנחות!$B$16,A33&lt;הנחות!$B$16+הנחות!$B$17),'כתב כמויות'!$I$22/הנחות!$B$17,0)+IF(AND(A33&gt;=הנחות!$B$16,A33&lt;הנחות!$B$16+הנחות!$B$12),הנחות!$B$11,0))</f>
        <v>-3000</v>
      </c>
      <c r="F33" s="18" t="n">
        <f aca="false">D33+E33</f>
        <v>-3000</v>
      </c>
      <c r="G33" s="18" t="n">
        <f aca="false">G32+F33</f>
        <v>294476.3</v>
      </c>
    </row>
    <row r="34" customFormat="false" ht="15" hidden="false" customHeight="false" outlineLevel="0" collapsed="false">
      <c r="A34" s="29" t="n">
        <v>27</v>
      </c>
      <c r="B34" s="18" t="n">
        <f aca="false">IF(A34=הנחות!$B$16,'כתב כמויות'!$H$21,0)</f>
        <v>0</v>
      </c>
      <c r="C34" s="18" t="n">
        <f aca="false">IF(AND(A34&gt;=הנחות!$B$16,A34&lt;הנחות!$B$16+הנחות!$B$17),'כתב כמויות'!$H$22/הנחות!$B$17,0)</f>
        <v>0</v>
      </c>
      <c r="D34" s="18" t="n">
        <f aca="false">IF(A34-ROUND(הנחות!$B$14,0)&gt;=0,INDEX($B$7:$B$73,A34-ROUND(הנחות!$B$14,0)+1)+INDEX($C$7:$C$73,A34-ROUND(הנחות!$B$14,0)+1),0)</f>
        <v>0</v>
      </c>
      <c r="E34" s="18" t="n">
        <f aca="false">-(IF(A34=הנחות!$B$16-1,'כתב כמויות'!$I$21,0)+IF(AND(A34&gt;=הנחות!$B$16,A34&lt;הנחות!$B$16+הנחות!$B$17),'כתב כמויות'!$I$22/הנחות!$B$17,0)+IF(AND(A34&gt;=הנחות!$B$16,A34&lt;הנחות!$B$16+הנחות!$B$12),הנחות!$B$11,0))</f>
        <v>-3000</v>
      </c>
      <c r="F34" s="18" t="n">
        <f aca="false">D34+E34</f>
        <v>-3000</v>
      </c>
      <c r="G34" s="18" t="n">
        <f aca="false">G33+F34</f>
        <v>291476.3</v>
      </c>
    </row>
    <row r="35" customFormat="false" ht="15" hidden="false" customHeight="false" outlineLevel="0" collapsed="false">
      <c r="A35" s="29" t="n">
        <v>28</v>
      </c>
      <c r="B35" s="18" t="n">
        <f aca="false">IF(A35=הנחות!$B$16,'כתב כמויות'!$H$21,0)</f>
        <v>0</v>
      </c>
      <c r="C35" s="18" t="n">
        <f aca="false">IF(AND(A35&gt;=הנחות!$B$16,A35&lt;הנחות!$B$16+הנחות!$B$17),'כתב כמויות'!$H$22/הנחות!$B$17,0)</f>
        <v>0</v>
      </c>
      <c r="D35" s="18" t="n">
        <f aca="false">IF(A35-ROUND(הנחות!$B$14,0)&gt;=0,INDEX($B$7:$B$73,A35-ROUND(הנחות!$B$14,0)+1)+INDEX($C$7:$C$73,A35-ROUND(הנחות!$B$14,0)+1),0)</f>
        <v>0</v>
      </c>
      <c r="E35" s="18" t="n">
        <f aca="false">-(IF(A35=הנחות!$B$16-1,'כתב כמויות'!$I$21,0)+IF(AND(A35&gt;=הנחות!$B$16,A35&lt;הנחות!$B$16+הנחות!$B$17),'כתב כמויות'!$I$22/הנחות!$B$17,0)+IF(AND(A35&gt;=הנחות!$B$16,A35&lt;הנחות!$B$16+הנחות!$B$12),הנחות!$B$11,0))</f>
        <v>-3000</v>
      </c>
      <c r="F35" s="18" t="n">
        <f aca="false">D35+E35</f>
        <v>-3000</v>
      </c>
      <c r="G35" s="18" t="n">
        <f aca="false">G34+F35</f>
        <v>288476.3</v>
      </c>
    </row>
    <row r="36" customFormat="false" ht="15" hidden="false" customHeight="false" outlineLevel="0" collapsed="false">
      <c r="A36" s="29" t="n">
        <v>29</v>
      </c>
      <c r="B36" s="18" t="n">
        <f aca="false">IF(A36=הנחות!$B$16,'כתב כמויות'!$H$21,0)</f>
        <v>0</v>
      </c>
      <c r="C36" s="18" t="n">
        <f aca="false">IF(AND(A36&gt;=הנחות!$B$16,A36&lt;הנחות!$B$16+הנחות!$B$17),'כתב כמויות'!$H$22/הנחות!$B$17,0)</f>
        <v>0</v>
      </c>
      <c r="D36" s="18" t="n">
        <f aca="false">IF(A36-ROUND(הנחות!$B$14,0)&gt;=0,INDEX($B$7:$B$73,A36-ROUND(הנחות!$B$14,0)+1)+INDEX($C$7:$C$73,A36-ROUND(הנחות!$B$14,0)+1),0)</f>
        <v>0</v>
      </c>
      <c r="E36" s="18" t="n">
        <f aca="false">-(IF(A36=הנחות!$B$16-1,'כתב כמויות'!$I$21,0)+IF(AND(A36&gt;=הנחות!$B$16,A36&lt;הנחות!$B$16+הנחות!$B$17),'כתב כמויות'!$I$22/הנחות!$B$17,0)+IF(AND(A36&gt;=הנחות!$B$16,A36&lt;הנחות!$B$16+הנחות!$B$12),הנחות!$B$11,0))</f>
        <v>-3000</v>
      </c>
      <c r="F36" s="18" t="n">
        <f aca="false">D36+E36</f>
        <v>-3000</v>
      </c>
      <c r="G36" s="18" t="n">
        <f aca="false">G35+F36</f>
        <v>285476.3</v>
      </c>
    </row>
    <row r="37" customFormat="false" ht="15" hidden="false" customHeight="false" outlineLevel="0" collapsed="false">
      <c r="A37" s="29" t="n">
        <v>30</v>
      </c>
      <c r="B37" s="18" t="n">
        <f aca="false">IF(A37=הנחות!$B$16,'כתב כמויות'!$H$21,0)</f>
        <v>0</v>
      </c>
      <c r="C37" s="18" t="n">
        <f aca="false">IF(AND(A37&gt;=הנחות!$B$16,A37&lt;הנחות!$B$16+הנחות!$B$17),'כתב כמויות'!$H$22/הנחות!$B$17,0)</f>
        <v>0</v>
      </c>
      <c r="D37" s="18" t="n">
        <f aca="false">IF(A37-ROUND(הנחות!$B$14,0)&gt;=0,INDEX($B$7:$B$73,A37-ROUND(הנחות!$B$14,0)+1)+INDEX($C$7:$C$73,A37-ROUND(הנחות!$B$14,0)+1),0)</f>
        <v>0</v>
      </c>
      <c r="E37" s="18" t="n">
        <f aca="false">-(IF(A37=הנחות!$B$16-1,'כתב כמויות'!$I$21,0)+IF(AND(A37&gt;=הנחות!$B$16,A37&lt;הנחות!$B$16+הנחות!$B$17),'כתב כמויות'!$I$22/הנחות!$B$17,0)+IF(AND(A37&gt;=הנחות!$B$16,A37&lt;הנחות!$B$16+הנחות!$B$12),הנחות!$B$11,0))</f>
        <v>-3000</v>
      </c>
      <c r="F37" s="18" t="n">
        <f aca="false">D37+E37</f>
        <v>-3000</v>
      </c>
      <c r="G37" s="18" t="n">
        <f aca="false">G36+F37</f>
        <v>282476.3</v>
      </c>
    </row>
    <row r="38" customFormat="false" ht="15" hidden="false" customHeight="false" outlineLevel="0" collapsed="false">
      <c r="A38" s="29" t="n">
        <v>31</v>
      </c>
      <c r="B38" s="18" t="n">
        <f aca="false">IF(A38=הנחות!$B$16,'כתב כמויות'!$H$21,0)</f>
        <v>0</v>
      </c>
      <c r="C38" s="18" t="n">
        <f aca="false">IF(AND(A38&gt;=הנחות!$B$16,A38&lt;הנחות!$B$16+הנחות!$B$17),'כתב כמויות'!$H$22/הנחות!$B$17,0)</f>
        <v>0</v>
      </c>
      <c r="D38" s="18" t="n">
        <f aca="false">IF(A38-ROUND(הנחות!$B$14,0)&gt;=0,INDEX($B$7:$B$73,A38-ROUND(הנחות!$B$14,0)+1)+INDEX($C$7:$C$73,A38-ROUND(הנחות!$B$14,0)+1),0)</f>
        <v>0</v>
      </c>
      <c r="E38" s="18" t="n">
        <f aca="false">-(IF(A38=הנחות!$B$16-1,'כתב כמויות'!$I$21,0)+IF(AND(A38&gt;=הנחות!$B$16,A38&lt;הנחות!$B$16+הנחות!$B$17),'כתב כמויות'!$I$22/הנחות!$B$17,0)+IF(AND(A38&gt;=הנחות!$B$16,A38&lt;הנחות!$B$16+הנחות!$B$12),הנחות!$B$11,0))</f>
        <v>-3000</v>
      </c>
      <c r="F38" s="18" t="n">
        <f aca="false">D38+E38</f>
        <v>-3000</v>
      </c>
      <c r="G38" s="18" t="n">
        <f aca="false">G37+F38</f>
        <v>279476.3</v>
      </c>
    </row>
    <row r="39" customFormat="false" ht="15" hidden="false" customHeight="false" outlineLevel="0" collapsed="false">
      <c r="A39" s="29" t="n">
        <v>32</v>
      </c>
      <c r="B39" s="18" t="n">
        <f aca="false">IF(A39=הנחות!$B$16,'כתב כמויות'!$H$21,0)</f>
        <v>0</v>
      </c>
      <c r="C39" s="18" t="n">
        <f aca="false">IF(AND(A39&gt;=הנחות!$B$16,A39&lt;הנחות!$B$16+הנחות!$B$17),'כתב כמויות'!$H$22/הנחות!$B$17,0)</f>
        <v>0</v>
      </c>
      <c r="D39" s="18" t="n">
        <f aca="false">IF(A39-ROUND(הנחות!$B$14,0)&gt;=0,INDEX($B$7:$B$73,A39-ROUND(הנחות!$B$14,0)+1)+INDEX($C$7:$C$73,A39-ROUND(הנחות!$B$14,0)+1),0)</f>
        <v>0</v>
      </c>
      <c r="E39" s="18" t="n">
        <f aca="false">-(IF(A39=הנחות!$B$16-1,'כתב כמויות'!$I$21,0)+IF(AND(A39&gt;=הנחות!$B$16,A39&lt;הנחות!$B$16+הנחות!$B$17),'כתב כמויות'!$I$22/הנחות!$B$17,0)+IF(AND(A39&gt;=הנחות!$B$16,A39&lt;הנחות!$B$16+הנחות!$B$12),הנחות!$B$11,0))</f>
        <v>-3000</v>
      </c>
      <c r="F39" s="18" t="n">
        <f aca="false">D39+E39</f>
        <v>-3000</v>
      </c>
      <c r="G39" s="18" t="n">
        <f aca="false">G38+F39</f>
        <v>276476.3</v>
      </c>
    </row>
    <row r="40" customFormat="false" ht="15" hidden="false" customHeight="false" outlineLevel="0" collapsed="false">
      <c r="A40" s="29" t="n">
        <v>33</v>
      </c>
      <c r="B40" s="18" t="n">
        <f aca="false">IF(A40=הנחות!$B$16,'כתב כמויות'!$H$21,0)</f>
        <v>0</v>
      </c>
      <c r="C40" s="18" t="n">
        <f aca="false">IF(AND(A40&gt;=הנחות!$B$16,A40&lt;הנחות!$B$16+הנחות!$B$17),'כתב כמויות'!$H$22/הנחות!$B$17,0)</f>
        <v>0</v>
      </c>
      <c r="D40" s="18" t="n">
        <f aca="false">IF(A40-ROUND(הנחות!$B$14,0)&gt;=0,INDEX($B$7:$B$73,A40-ROUND(הנחות!$B$14,0)+1)+INDEX($C$7:$C$73,A40-ROUND(הנחות!$B$14,0)+1),0)</f>
        <v>0</v>
      </c>
      <c r="E40" s="18" t="n">
        <f aca="false">-(IF(A40=הנחות!$B$16-1,'כתב כמויות'!$I$21,0)+IF(AND(A40&gt;=הנחות!$B$16,A40&lt;הנחות!$B$16+הנחות!$B$17),'כתב כמויות'!$I$22/הנחות!$B$17,0)+IF(AND(A40&gt;=הנחות!$B$16,A40&lt;הנחות!$B$16+הנחות!$B$12),הנחות!$B$11,0))</f>
        <v>-3000</v>
      </c>
      <c r="F40" s="18" t="n">
        <f aca="false">D40+E40</f>
        <v>-3000</v>
      </c>
      <c r="G40" s="18" t="n">
        <f aca="false">G39+F40</f>
        <v>273476.3</v>
      </c>
    </row>
    <row r="41" customFormat="false" ht="15" hidden="false" customHeight="false" outlineLevel="0" collapsed="false">
      <c r="A41" s="29" t="n">
        <v>34</v>
      </c>
      <c r="B41" s="18" t="n">
        <f aca="false">IF(A41=הנחות!$B$16,'כתב כמויות'!$H$21,0)</f>
        <v>0</v>
      </c>
      <c r="C41" s="18" t="n">
        <f aca="false">IF(AND(A41&gt;=הנחות!$B$16,A41&lt;הנחות!$B$16+הנחות!$B$17),'כתב כמויות'!$H$22/הנחות!$B$17,0)</f>
        <v>0</v>
      </c>
      <c r="D41" s="18" t="n">
        <f aca="false">IF(A41-ROUND(הנחות!$B$14,0)&gt;=0,INDEX($B$7:$B$73,A41-ROUND(הנחות!$B$14,0)+1)+INDEX($C$7:$C$73,A41-ROUND(הנחות!$B$14,0)+1),0)</f>
        <v>0</v>
      </c>
      <c r="E41" s="18" t="n">
        <f aca="false">-(IF(A41=הנחות!$B$16-1,'כתב כמויות'!$I$21,0)+IF(AND(A41&gt;=הנחות!$B$16,A41&lt;הנחות!$B$16+הנחות!$B$17),'כתב כמויות'!$I$22/הנחות!$B$17,0)+IF(AND(A41&gt;=הנחות!$B$16,A41&lt;הנחות!$B$16+הנחות!$B$12),הנחות!$B$11,0))</f>
        <v>-3000</v>
      </c>
      <c r="F41" s="18" t="n">
        <f aca="false">D41+E41</f>
        <v>-3000</v>
      </c>
      <c r="G41" s="18" t="n">
        <f aca="false">G40+F41</f>
        <v>270476.3</v>
      </c>
    </row>
    <row r="42" customFormat="false" ht="15" hidden="false" customHeight="false" outlineLevel="0" collapsed="false">
      <c r="A42" s="29" t="n">
        <v>35</v>
      </c>
      <c r="B42" s="18" t="n">
        <f aca="false">IF(A42=הנחות!$B$16,'כתב כמויות'!$H$21,0)</f>
        <v>0</v>
      </c>
      <c r="C42" s="18" t="n">
        <f aca="false">IF(AND(A42&gt;=הנחות!$B$16,A42&lt;הנחות!$B$16+הנחות!$B$17),'כתב כמויות'!$H$22/הנחות!$B$17,0)</f>
        <v>0</v>
      </c>
      <c r="D42" s="18" t="n">
        <f aca="false">IF(A42-ROUND(הנחות!$B$14,0)&gt;=0,INDEX($B$7:$B$73,A42-ROUND(הנחות!$B$14,0)+1)+INDEX($C$7:$C$73,A42-ROUND(הנחות!$B$14,0)+1),0)</f>
        <v>0</v>
      </c>
      <c r="E42" s="18" t="n">
        <f aca="false">-(IF(A42=הנחות!$B$16-1,'כתב כמויות'!$I$21,0)+IF(AND(A42&gt;=הנחות!$B$16,A42&lt;הנחות!$B$16+הנחות!$B$17),'כתב כמויות'!$I$22/הנחות!$B$17,0)+IF(AND(A42&gt;=הנחות!$B$16,A42&lt;הנחות!$B$16+הנחות!$B$12),הנחות!$B$11,0))</f>
        <v>-3000</v>
      </c>
      <c r="F42" s="18" t="n">
        <f aca="false">D42+E42</f>
        <v>-3000</v>
      </c>
      <c r="G42" s="18" t="n">
        <f aca="false">G41+F42</f>
        <v>267476.3</v>
      </c>
    </row>
    <row r="43" customFormat="false" ht="15" hidden="false" customHeight="false" outlineLevel="0" collapsed="false">
      <c r="A43" s="29" t="n">
        <v>36</v>
      </c>
      <c r="B43" s="18" t="n">
        <f aca="false">IF(A43=הנחות!$B$16,'כתב כמויות'!$H$21,0)</f>
        <v>0</v>
      </c>
      <c r="C43" s="18" t="n">
        <f aca="false">IF(AND(A43&gt;=הנחות!$B$16,A43&lt;הנחות!$B$16+הנחות!$B$17),'כתב כמויות'!$H$22/הנחות!$B$17,0)</f>
        <v>0</v>
      </c>
      <c r="D43" s="18" t="n">
        <f aca="false">IF(A43-ROUND(הנחות!$B$14,0)&gt;=0,INDEX($B$7:$B$73,A43-ROUND(הנחות!$B$14,0)+1)+INDEX($C$7:$C$73,A43-ROUND(הנחות!$B$14,0)+1),0)</f>
        <v>0</v>
      </c>
      <c r="E43" s="18" t="n">
        <f aca="false">-(IF(A43=הנחות!$B$16-1,'כתב כמויות'!$I$21,0)+IF(AND(A43&gt;=הנחות!$B$16,A43&lt;הנחות!$B$16+הנחות!$B$17),'כתב כמויות'!$I$22/הנחות!$B$17,0)+IF(AND(A43&gt;=הנחות!$B$16,A43&lt;הנחות!$B$16+הנחות!$B$12),הנחות!$B$11,0))</f>
        <v>-3000</v>
      </c>
      <c r="F43" s="18" t="n">
        <f aca="false">D43+E43</f>
        <v>-3000</v>
      </c>
      <c r="G43" s="18" t="n">
        <f aca="false">G42+F43</f>
        <v>264476.3</v>
      </c>
    </row>
    <row r="44" customFormat="false" ht="15" hidden="false" customHeight="false" outlineLevel="0" collapsed="false">
      <c r="A44" s="29" t="n">
        <v>37</v>
      </c>
      <c r="B44" s="18" t="n">
        <f aca="false">IF(A44=הנחות!$B$16,'כתב כמויות'!$H$21,0)</f>
        <v>0</v>
      </c>
      <c r="C44" s="18" t="n">
        <f aca="false">IF(AND(A44&gt;=הנחות!$B$16,A44&lt;הנחות!$B$16+הנחות!$B$17),'כתב כמויות'!$H$22/הנחות!$B$17,0)</f>
        <v>0</v>
      </c>
      <c r="D44" s="18" t="n">
        <f aca="false">IF(A44-ROUND(הנחות!$B$14,0)&gt;=0,INDEX($B$7:$B$73,A44-ROUND(הנחות!$B$14,0)+1)+INDEX($C$7:$C$73,A44-ROUND(הנחות!$B$14,0)+1),0)</f>
        <v>0</v>
      </c>
      <c r="E44" s="18" t="n">
        <f aca="false">-(IF(A44=הנחות!$B$16-1,'כתב כמויות'!$I$21,0)+IF(AND(A44&gt;=הנחות!$B$16,A44&lt;הנחות!$B$16+הנחות!$B$17),'כתב כמויות'!$I$22/הנחות!$B$17,0)+IF(AND(A44&gt;=הנחות!$B$16,A44&lt;הנחות!$B$16+הנחות!$B$12),הנחות!$B$11,0))</f>
        <v>-3000</v>
      </c>
      <c r="F44" s="18" t="n">
        <f aca="false">D44+E44</f>
        <v>-3000</v>
      </c>
      <c r="G44" s="18" t="n">
        <f aca="false">G43+F44</f>
        <v>261476.3</v>
      </c>
    </row>
    <row r="45" customFormat="false" ht="15" hidden="false" customHeight="false" outlineLevel="0" collapsed="false">
      <c r="A45" s="29" t="n">
        <v>38</v>
      </c>
      <c r="B45" s="18" t="n">
        <f aca="false">IF(A45=הנחות!$B$16,'כתב כמויות'!$H$21,0)</f>
        <v>0</v>
      </c>
      <c r="C45" s="18" t="n">
        <f aca="false">IF(AND(A45&gt;=הנחות!$B$16,A45&lt;הנחות!$B$16+הנחות!$B$17),'כתב כמויות'!$H$22/הנחות!$B$17,0)</f>
        <v>0</v>
      </c>
      <c r="D45" s="18" t="n">
        <f aca="false">IF(A45-ROUND(הנחות!$B$14,0)&gt;=0,INDEX($B$7:$B$73,A45-ROUND(הנחות!$B$14,0)+1)+INDEX($C$7:$C$73,A45-ROUND(הנחות!$B$14,0)+1),0)</f>
        <v>0</v>
      </c>
      <c r="E45" s="18" t="n">
        <f aca="false">-(IF(A45=הנחות!$B$16-1,'כתב כמויות'!$I$21,0)+IF(AND(A45&gt;=הנחות!$B$16,A45&lt;הנחות!$B$16+הנחות!$B$17),'כתב כמויות'!$I$22/הנחות!$B$17,0)+IF(AND(A45&gt;=הנחות!$B$16,A45&lt;הנחות!$B$16+הנחות!$B$12),הנחות!$B$11,0))</f>
        <v>-3000</v>
      </c>
      <c r="F45" s="18" t="n">
        <f aca="false">D45+E45</f>
        <v>-3000</v>
      </c>
      <c r="G45" s="18" t="n">
        <f aca="false">G44+F45</f>
        <v>258476.3</v>
      </c>
    </row>
    <row r="46" customFormat="false" ht="15" hidden="false" customHeight="false" outlineLevel="0" collapsed="false">
      <c r="A46" s="29" t="n">
        <v>39</v>
      </c>
      <c r="B46" s="18" t="n">
        <f aca="false">IF(A46=הנחות!$B$16,'כתב כמויות'!$H$21,0)</f>
        <v>0</v>
      </c>
      <c r="C46" s="18" t="n">
        <f aca="false">IF(AND(A46&gt;=הנחות!$B$16,A46&lt;הנחות!$B$16+הנחות!$B$17),'כתב כמויות'!$H$22/הנחות!$B$17,0)</f>
        <v>0</v>
      </c>
      <c r="D46" s="18" t="n">
        <f aca="false">IF(A46-ROUND(הנחות!$B$14,0)&gt;=0,INDEX($B$7:$B$73,A46-ROUND(הנחות!$B$14,0)+1)+INDEX($C$7:$C$73,A46-ROUND(הנחות!$B$14,0)+1),0)</f>
        <v>0</v>
      </c>
      <c r="E46" s="18" t="n">
        <f aca="false">-(IF(A46=הנחות!$B$16-1,'כתב כמויות'!$I$21,0)+IF(AND(A46&gt;=הנחות!$B$16,A46&lt;הנחות!$B$16+הנחות!$B$17),'כתב כמויות'!$I$22/הנחות!$B$17,0)+IF(AND(A46&gt;=הנחות!$B$16,A46&lt;הנחות!$B$16+הנחות!$B$12),הנחות!$B$11,0))</f>
        <v>-3000</v>
      </c>
      <c r="F46" s="18" t="n">
        <f aca="false">D46+E46</f>
        <v>-3000</v>
      </c>
      <c r="G46" s="18" t="n">
        <f aca="false">G45+F46</f>
        <v>255476.3</v>
      </c>
    </row>
    <row r="47" customFormat="false" ht="15" hidden="false" customHeight="false" outlineLevel="0" collapsed="false">
      <c r="A47" s="29" t="n">
        <v>40</v>
      </c>
      <c r="B47" s="18" t="n">
        <f aca="false">IF(A47=הנחות!$B$16,'כתב כמויות'!$H$21,0)</f>
        <v>0</v>
      </c>
      <c r="C47" s="18" t="n">
        <f aca="false">IF(AND(A47&gt;=הנחות!$B$16,A47&lt;הנחות!$B$16+הנחות!$B$17),'כתב כמויות'!$H$22/הנחות!$B$17,0)</f>
        <v>0</v>
      </c>
      <c r="D47" s="18" t="n">
        <f aca="false">IF(A47-ROUND(הנחות!$B$14,0)&gt;=0,INDEX($B$7:$B$73,A47-ROUND(הנחות!$B$14,0)+1)+INDEX($C$7:$C$73,A47-ROUND(הנחות!$B$14,0)+1),0)</f>
        <v>0</v>
      </c>
      <c r="E47" s="18" t="n">
        <f aca="false">-(IF(A47=הנחות!$B$16-1,'כתב כמויות'!$I$21,0)+IF(AND(A47&gt;=הנחות!$B$16,A47&lt;הנחות!$B$16+הנחות!$B$17),'כתב כמויות'!$I$22/הנחות!$B$17,0)+IF(AND(A47&gt;=הנחות!$B$16,A47&lt;הנחות!$B$16+הנחות!$B$12),הנחות!$B$11,0))</f>
        <v>-3000</v>
      </c>
      <c r="F47" s="18" t="n">
        <f aca="false">D47+E47</f>
        <v>-3000</v>
      </c>
      <c r="G47" s="18" t="n">
        <f aca="false">G46+F47</f>
        <v>252476.3</v>
      </c>
    </row>
    <row r="48" customFormat="false" ht="15" hidden="false" customHeight="false" outlineLevel="0" collapsed="false">
      <c r="A48" s="29" t="n">
        <v>41</v>
      </c>
      <c r="B48" s="18" t="n">
        <f aca="false">IF(A48=הנחות!$B$16,'כתב כמויות'!$H$21,0)</f>
        <v>0</v>
      </c>
      <c r="C48" s="18" t="n">
        <f aca="false">IF(AND(A48&gt;=הנחות!$B$16,A48&lt;הנחות!$B$16+הנחות!$B$17),'כתב כמויות'!$H$22/הנחות!$B$17,0)</f>
        <v>0</v>
      </c>
      <c r="D48" s="18" t="n">
        <f aca="false">IF(A48-ROUND(הנחות!$B$14,0)&gt;=0,INDEX($B$7:$B$73,A48-ROUND(הנחות!$B$14,0)+1)+INDEX($C$7:$C$73,A48-ROUND(הנחות!$B$14,0)+1),0)</f>
        <v>0</v>
      </c>
      <c r="E48" s="18" t="n">
        <f aca="false">-(IF(A48=הנחות!$B$16-1,'כתב כמויות'!$I$21,0)+IF(AND(A48&gt;=הנחות!$B$16,A48&lt;הנחות!$B$16+הנחות!$B$17),'כתב כמויות'!$I$22/הנחות!$B$17,0)+IF(AND(A48&gt;=הנחות!$B$16,A48&lt;הנחות!$B$16+הנחות!$B$12),הנחות!$B$11,0))</f>
        <v>-3000</v>
      </c>
      <c r="F48" s="18" t="n">
        <f aca="false">D48+E48</f>
        <v>-3000</v>
      </c>
      <c r="G48" s="18" t="n">
        <f aca="false">G47+F48</f>
        <v>249476.3</v>
      </c>
    </row>
    <row r="49" customFormat="false" ht="15" hidden="false" customHeight="false" outlineLevel="0" collapsed="false">
      <c r="A49" s="29" t="n">
        <v>42</v>
      </c>
      <c r="B49" s="18" t="n">
        <f aca="false">IF(A49=הנחות!$B$16,'כתב כמויות'!$H$21,0)</f>
        <v>0</v>
      </c>
      <c r="C49" s="18" t="n">
        <f aca="false">IF(AND(A49&gt;=הנחות!$B$16,A49&lt;הנחות!$B$16+הנחות!$B$17),'כתב כמויות'!$H$22/הנחות!$B$17,0)</f>
        <v>0</v>
      </c>
      <c r="D49" s="18" t="n">
        <f aca="false">IF(A49-ROUND(הנחות!$B$14,0)&gt;=0,INDEX($B$7:$B$73,A49-ROUND(הנחות!$B$14,0)+1)+INDEX($C$7:$C$73,A49-ROUND(הנחות!$B$14,0)+1),0)</f>
        <v>0</v>
      </c>
      <c r="E49" s="18" t="n">
        <f aca="false">-(IF(A49=הנחות!$B$16-1,'כתב כמויות'!$I$21,0)+IF(AND(A49&gt;=הנחות!$B$16,A49&lt;הנחות!$B$16+הנחות!$B$17),'כתב כמויות'!$I$22/הנחות!$B$17,0)+IF(AND(A49&gt;=הנחות!$B$16,A49&lt;הנחות!$B$16+הנחות!$B$12),הנחות!$B$11,0))</f>
        <v>-3000</v>
      </c>
      <c r="F49" s="18" t="n">
        <f aca="false">D49+E49</f>
        <v>-3000</v>
      </c>
      <c r="G49" s="18" t="n">
        <f aca="false">G48+F49</f>
        <v>246476.3</v>
      </c>
    </row>
    <row r="50" customFormat="false" ht="15" hidden="false" customHeight="false" outlineLevel="0" collapsed="false">
      <c r="A50" s="29" t="n">
        <v>43</v>
      </c>
      <c r="B50" s="18" t="n">
        <f aca="false">IF(A50=הנחות!$B$16,'כתב כמויות'!$H$21,0)</f>
        <v>0</v>
      </c>
      <c r="C50" s="18" t="n">
        <f aca="false">IF(AND(A50&gt;=הנחות!$B$16,A50&lt;הנחות!$B$16+הנחות!$B$17),'כתב כמויות'!$H$22/הנחות!$B$17,0)</f>
        <v>0</v>
      </c>
      <c r="D50" s="18" t="n">
        <f aca="false">IF(A50-ROUND(הנחות!$B$14,0)&gt;=0,INDEX($B$7:$B$73,A50-ROUND(הנחות!$B$14,0)+1)+INDEX($C$7:$C$73,A50-ROUND(הנחות!$B$14,0)+1),0)</f>
        <v>0</v>
      </c>
      <c r="E50" s="18" t="n">
        <f aca="false">-(IF(A50=הנחות!$B$16-1,'כתב כמויות'!$I$21,0)+IF(AND(A50&gt;=הנחות!$B$16,A50&lt;הנחות!$B$16+הנחות!$B$17),'כתב כמויות'!$I$22/הנחות!$B$17,0)+IF(AND(A50&gt;=הנחות!$B$16,A50&lt;הנחות!$B$16+הנחות!$B$12),הנחות!$B$11,0))</f>
        <v>-3000</v>
      </c>
      <c r="F50" s="18" t="n">
        <f aca="false">D50+E50</f>
        <v>-3000</v>
      </c>
      <c r="G50" s="18" t="n">
        <f aca="false">G49+F50</f>
        <v>243476.3</v>
      </c>
    </row>
    <row r="51" customFormat="false" ht="15" hidden="false" customHeight="false" outlineLevel="0" collapsed="false">
      <c r="A51" s="29" t="n">
        <v>44</v>
      </c>
      <c r="B51" s="18" t="n">
        <f aca="false">IF(A51=הנחות!$B$16,'כתב כמויות'!$H$21,0)</f>
        <v>0</v>
      </c>
      <c r="C51" s="18" t="n">
        <f aca="false">IF(AND(A51&gt;=הנחות!$B$16,A51&lt;הנחות!$B$16+הנחות!$B$17),'כתב כמויות'!$H$22/הנחות!$B$17,0)</f>
        <v>0</v>
      </c>
      <c r="D51" s="18" t="n">
        <f aca="false">IF(A51-ROUND(הנחות!$B$14,0)&gt;=0,INDEX($B$7:$B$73,A51-ROUND(הנחות!$B$14,0)+1)+INDEX($C$7:$C$73,A51-ROUND(הנחות!$B$14,0)+1),0)</f>
        <v>0</v>
      </c>
      <c r="E51" s="18" t="n">
        <f aca="false">-(IF(A51=הנחות!$B$16-1,'כתב כמויות'!$I$21,0)+IF(AND(A51&gt;=הנחות!$B$16,A51&lt;הנחות!$B$16+הנחות!$B$17),'כתב כמויות'!$I$22/הנחות!$B$17,0)+IF(AND(A51&gt;=הנחות!$B$16,A51&lt;הנחות!$B$16+הנחות!$B$12),הנחות!$B$11,0))</f>
        <v>-3000</v>
      </c>
      <c r="F51" s="18" t="n">
        <f aca="false">D51+E51</f>
        <v>-3000</v>
      </c>
      <c r="G51" s="18" t="n">
        <f aca="false">G50+F51</f>
        <v>240476.3</v>
      </c>
    </row>
    <row r="52" customFormat="false" ht="15" hidden="false" customHeight="false" outlineLevel="0" collapsed="false">
      <c r="A52" s="29" t="n">
        <v>45</v>
      </c>
      <c r="B52" s="18" t="n">
        <f aca="false">IF(A52=הנחות!$B$16,'כתב כמויות'!$H$21,0)</f>
        <v>0</v>
      </c>
      <c r="C52" s="18" t="n">
        <f aca="false">IF(AND(A52&gt;=הנחות!$B$16,A52&lt;הנחות!$B$16+הנחות!$B$17),'כתב כמויות'!$H$22/הנחות!$B$17,0)</f>
        <v>0</v>
      </c>
      <c r="D52" s="18" t="n">
        <f aca="false">IF(A52-ROUND(הנחות!$B$14,0)&gt;=0,INDEX($B$7:$B$73,A52-ROUND(הנחות!$B$14,0)+1)+INDEX($C$7:$C$73,A52-ROUND(הנחות!$B$14,0)+1),0)</f>
        <v>0</v>
      </c>
      <c r="E52" s="18" t="n">
        <f aca="false">-(IF(A52=הנחות!$B$16-1,'כתב כמויות'!$I$21,0)+IF(AND(A52&gt;=הנחות!$B$16,A52&lt;הנחות!$B$16+הנחות!$B$17),'כתב כמויות'!$I$22/הנחות!$B$17,0)+IF(AND(A52&gt;=הנחות!$B$16,A52&lt;הנחות!$B$16+הנחות!$B$12),הנחות!$B$11,0))</f>
        <v>-3000</v>
      </c>
      <c r="F52" s="18" t="n">
        <f aca="false">D52+E52</f>
        <v>-3000</v>
      </c>
      <c r="G52" s="18" t="n">
        <f aca="false">G51+F52</f>
        <v>237476.3</v>
      </c>
    </row>
    <row r="53" customFormat="false" ht="15" hidden="false" customHeight="false" outlineLevel="0" collapsed="false">
      <c r="A53" s="29" t="n">
        <v>46</v>
      </c>
      <c r="B53" s="18" t="n">
        <f aca="false">IF(A53=הנחות!$B$16,'כתב כמויות'!$H$21,0)</f>
        <v>0</v>
      </c>
      <c r="C53" s="18" t="n">
        <f aca="false">IF(AND(A53&gt;=הנחות!$B$16,A53&lt;הנחות!$B$16+הנחות!$B$17),'כתב כמויות'!$H$22/הנחות!$B$17,0)</f>
        <v>0</v>
      </c>
      <c r="D53" s="18" t="n">
        <f aca="false">IF(A53-ROUND(הנחות!$B$14,0)&gt;=0,INDEX($B$7:$B$73,A53-ROUND(הנחות!$B$14,0)+1)+INDEX($C$7:$C$73,A53-ROUND(הנחות!$B$14,0)+1),0)</f>
        <v>0</v>
      </c>
      <c r="E53" s="18" t="n">
        <f aca="false">-(IF(A53=הנחות!$B$16-1,'כתב כמויות'!$I$21,0)+IF(AND(A53&gt;=הנחות!$B$16,A53&lt;הנחות!$B$16+הנחות!$B$17),'כתב כמויות'!$I$22/הנחות!$B$17,0)+IF(AND(A53&gt;=הנחות!$B$16,A53&lt;הנחות!$B$16+הנחות!$B$12),הנחות!$B$11,0))</f>
        <v>-3000</v>
      </c>
      <c r="F53" s="18" t="n">
        <f aca="false">D53+E53</f>
        <v>-3000</v>
      </c>
      <c r="G53" s="18" t="n">
        <f aca="false">G52+F53</f>
        <v>234476.3</v>
      </c>
    </row>
    <row r="54" customFormat="false" ht="15" hidden="false" customHeight="false" outlineLevel="0" collapsed="false">
      <c r="A54" s="29" t="n">
        <v>47</v>
      </c>
      <c r="B54" s="18" t="n">
        <f aca="false">IF(A54=הנחות!$B$16,'כתב כמויות'!$H$21,0)</f>
        <v>0</v>
      </c>
      <c r="C54" s="18" t="n">
        <f aca="false">IF(AND(A54&gt;=הנחות!$B$16,A54&lt;הנחות!$B$16+הנחות!$B$17),'כתב כמויות'!$H$22/הנחות!$B$17,0)</f>
        <v>0</v>
      </c>
      <c r="D54" s="18" t="n">
        <f aca="false">IF(A54-ROUND(הנחות!$B$14,0)&gt;=0,INDEX($B$7:$B$73,A54-ROUND(הנחות!$B$14,0)+1)+INDEX($C$7:$C$73,A54-ROUND(הנחות!$B$14,0)+1),0)</f>
        <v>0</v>
      </c>
      <c r="E54" s="18" t="n">
        <f aca="false">-(IF(A54=הנחות!$B$16-1,'כתב כמויות'!$I$21,0)+IF(AND(A54&gt;=הנחות!$B$16,A54&lt;הנחות!$B$16+הנחות!$B$17),'כתב כמויות'!$I$22/הנחות!$B$17,0)+IF(AND(A54&gt;=הנחות!$B$16,A54&lt;הנחות!$B$16+הנחות!$B$12),הנחות!$B$11,0))</f>
        <v>-3000</v>
      </c>
      <c r="F54" s="18" t="n">
        <f aca="false">D54+E54</f>
        <v>-3000</v>
      </c>
      <c r="G54" s="18" t="n">
        <f aca="false">G53+F54</f>
        <v>231476.3</v>
      </c>
    </row>
    <row r="55" customFormat="false" ht="15" hidden="false" customHeight="false" outlineLevel="0" collapsed="false">
      <c r="A55" s="29" t="n">
        <v>48</v>
      </c>
      <c r="B55" s="18" t="n">
        <f aca="false">IF(A55=הנחות!$B$16,'כתב כמויות'!$H$21,0)</f>
        <v>0</v>
      </c>
      <c r="C55" s="18" t="n">
        <f aca="false">IF(AND(A55&gt;=הנחות!$B$16,A55&lt;הנחות!$B$16+הנחות!$B$17),'כתב כמויות'!$H$22/הנחות!$B$17,0)</f>
        <v>0</v>
      </c>
      <c r="D55" s="18" t="n">
        <f aca="false">IF(A55-ROUND(הנחות!$B$14,0)&gt;=0,INDEX($B$7:$B$73,A55-ROUND(הנחות!$B$14,0)+1)+INDEX($C$7:$C$73,A55-ROUND(הנחות!$B$14,0)+1),0)</f>
        <v>0</v>
      </c>
      <c r="E55" s="18" t="n">
        <f aca="false">-(IF(A55=הנחות!$B$16-1,'כתב כמויות'!$I$21,0)+IF(AND(A55&gt;=הנחות!$B$16,A55&lt;הנחות!$B$16+הנחות!$B$17),'כתב כמויות'!$I$22/הנחות!$B$17,0)+IF(AND(A55&gt;=הנחות!$B$16,A55&lt;הנחות!$B$16+הנחות!$B$12),הנחות!$B$11,0))</f>
        <v>-3000</v>
      </c>
      <c r="F55" s="18" t="n">
        <f aca="false">D55+E55</f>
        <v>-3000</v>
      </c>
      <c r="G55" s="18" t="n">
        <f aca="false">G54+F55</f>
        <v>228476.3</v>
      </c>
    </row>
    <row r="56" customFormat="false" ht="15" hidden="false" customHeight="false" outlineLevel="0" collapsed="false">
      <c r="A56" s="29" t="n">
        <v>49</v>
      </c>
      <c r="B56" s="18" t="n">
        <f aca="false">IF(A56=הנחות!$B$16,'כתב כמויות'!$H$21,0)</f>
        <v>0</v>
      </c>
      <c r="C56" s="18" t="n">
        <f aca="false">IF(AND(A56&gt;=הנחות!$B$16,A56&lt;הנחות!$B$16+הנחות!$B$17),'כתב כמויות'!$H$22/הנחות!$B$17,0)</f>
        <v>0</v>
      </c>
      <c r="D56" s="18" t="n">
        <f aca="false">IF(A56-ROUND(הנחות!$B$14,0)&gt;=0,INDEX($B$7:$B$73,A56-ROUND(הנחות!$B$14,0)+1)+INDEX($C$7:$C$73,A56-ROUND(הנחות!$B$14,0)+1),0)</f>
        <v>0</v>
      </c>
      <c r="E56" s="18" t="n">
        <f aca="false">-(IF(A56=הנחות!$B$16-1,'כתב כמויות'!$I$21,0)+IF(AND(A56&gt;=הנחות!$B$16,A56&lt;הנחות!$B$16+הנחות!$B$17),'כתב כמויות'!$I$22/הנחות!$B$17,0)+IF(AND(A56&gt;=הנחות!$B$16,A56&lt;הנחות!$B$16+הנחות!$B$12),הנחות!$B$11,0))</f>
        <v>-3000</v>
      </c>
      <c r="F56" s="18" t="n">
        <f aca="false">D56+E56</f>
        <v>-3000</v>
      </c>
      <c r="G56" s="18" t="n">
        <f aca="false">G55+F56</f>
        <v>225476.3</v>
      </c>
    </row>
    <row r="57" customFormat="false" ht="15" hidden="false" customHeight="false" outlineLevel="0" collapsed="false">
      <c r="A57" s="29" t="n">
        <v>50</v>
      </c>
      <c r="B57" s="18" t="n">
        <f aca="false">IF(A57=הנחות!$B$16,'כתב כמויות'!$H$21,0)</f>
        <v>0</v>
      </c>
      <c r="C57" s="18" t="n">
        <f aca="false">IF(AND(A57&gt;=הנחות!$B$16,A57&lt;הנחות!$B$16+הנחות!$B$17),'כתב כמויות'!$H$22/הנחות!$B$17,0)</f>
        <v>0</v>
      </c>
      <c r="D57" s="18" t="n">
        <f aca="false">IF(A57-ROUND(הנחות!$B$14,0)&gt;=0,INDEX($B$7:$B$73,A57-ROUND(הנחות!$B$14,0)+1)+INDEX($C$7:$C$73,A57-ROUND(הנחות!$B$14,0)+1),0)</f>
        <v>0</v>
      </c>
      <c r="E57" s="18" t="n">
        <f aca="false">-(IF(A57=הנחות!$B$16-1,'כתב כמויות'!$I$21,0)+IF(AND(A57&gt;=הנחות!$B$16,A57&lt;הנחות!$B$16+הנחות!$B$17),'כתב כמויות'!$I$22/הנחות!$B$17,0)+IF(AND(A57&gt;=הנחות!$B$16,A57&lt;הנחות!$B$16+הנחות!$B$12),הנחות!$B$11,0))</f>
        <v>-3000</v>
      </c>
      <c r="F57" s="18" t="n">
        <f aca="false">D57+E57</f>
        <v>-3000</v>
      </c>
      <c r="G57" s="18" t="n">
        <f aca="false">G56+F57</f>
        <v>222476.3</v>
      </c>
    </row>
    <row r="58" customFormat="false" ht="15" hidden="false" customHeight="false" outlineLevel="0" collapsed="false">
      <c r="A58" s="29" t="n">
        <v>51</v>
      </c>
      <c r="B58" s="18" t="n">
        <f aca="false">IF(A58=הנחות!$B$16,'כתב כמויות'!$H$21,0)</f>
        <v>0</v>
      </c>
      <c r="C58" s="18" t="n">
        <f aca="false">IF(AND(A58&gt;=הנחות!$B$16,A58&lt;הנחות!$B$16+הנחות!$B$17),'כתב כמויות'!$H$22/הנחות!$B$17,0)</f>
        <v>0</v>
      </c>
      <c r="D58" s="18" t="n">
        <f aca="false">IF(A58-ROUND(הנחות!$B$14,0)&gt;=0,INDEX($B$7:$B$73,A58-ROUND(הנחות!$B$14,0)+1)+INDEX($C$7:$C$73,A58-ROUND(הנחות!$B$14,0)+1),0)</f>
        <v>0</v>
      </c>
      <c r="E58" s="18" t="n">
        <f aca="false">-(IF(A58=הנחות!$B$16-1,'כתב כמויות'!$I$21,0)+IF(AND(A58&gt;=הנחות!$B$16,A58&lt;הנחות!$B$16+הנחות!$B$17),'כתב כמויות'!$I$22/הנחות!$B$17,0)+IF(AND(A58&gt;=הנחות!$B$16,A58&lt;הנחות!$B$16+הנחות!$B$12),הנחות!$B$11,0))</f>
        <v>-3000</v>
      </c>
      <c r="F58" s="18" t="n">
        <f aca="false">D58+E58</f>
        <v>-3000</v>
      </c>
      <c r="G58" s="18" t="n">
        <f aca="false">G57+F58</f>
        <v>219476.3</v>
      </c>
    </row>
    <row r="59" customFormat="false" ht="15" hidden="false" customHeight="false" outlineLevel="0" collapsed="false">
      <c r="A59" s="29" t="n">
        <v>52</v>
      </c>
      <c r="B59" s="18" t="n">
        <f aca="false">IF(A59=הנחות!$B$16,'כתב כמויות'!$H$21,0)</f>
        <v>0</v>
      </c>
      <c r="C59" s="18" t="n">
        <f aca="false">IF(AND(A59&gt;=הנחות!$B$16,A59&lt;הנחות!$B$16+הנחות!$B$17),'כתב כמויות'!$H$22/הנחות!$B$17,0)</f>
        <v>0</v>
      </c>
      <c r="D59" s="18" t="n">
        <f aca="false">IF(A59-ROUND(הנחות!$B$14,0)&gt;=0,INDEX($B$7:$B$73,A59-ROUND(הנחות!$B$14,0)+1)+INDEX($C$7:$C$73,A59-ROUND(הנחות!$B$14,0)+1),0)</f>
        <v>0</v>
      </c>
      <c r="E59" s="18" t="n">
        <f aca="false">-(IF(A59=הנחות!$B$16-1,'כתב כמויות'!$I$21,0)+IF(AND(A59&gt;=הנחות!$B$16,A59&lt;הנחות!$B$16+הנחות!$B$17),'כתב כמויות'!$I$22/הנחות!$B$17,0)+IF(AND(A59&gt;=הנחות!$B$16,A59&lt;הנחות!$B$16+הנחות!$B$12),הנחות!$B$11,0))</f>
        <v>-3000</v>
      </c>
      <c r="F59" s="18" t="n">
        <f aca="false">D59+E59</f>
        <v>-3000</v>
      </c>
      <c r="G59" s="18" t="n">
        <f aca="false">G58+F59</f>
        <v>216476.3</v>
      </c>
    </row>
    <row r="60" customFormat="false" ht="15" hidden="false" customHeight="false" outlineLevel="0" collapsed="false">
      <c r="A60" s="29" t="n">
        <v>53</v>
      </c>
      <c r="B60" s="18" t="n">
        <f aca="false">IF(A60=הנחות!$B$16,'כתב כמויות'!$H$21,0)</f>
        <v>0</v>
      </c>
      <c r="C60" s="18" t="n">
        <f aca="false">IF(AND(A60&gt;=הנחות!$B$16,A60&lt;הנחות!$B$16+הנחות!$B$17),'כתב כמויות'!$H$22/הנחות!$B$17,0)</f>
        <v>0</v>
      </c>
      <c r="D60" s="18" t="n">
        <f aca="false">IF(A60-ROUND(הנחות!$B$14,0)&gt;=0,INDEX($B$7:$B$73,A60-ROUND(הנחות!$B$14,0)+1)+INDEX($C$7:$C$73,A60-ROUND(הנחות!$B$14,0)+1),0)</f>
        <v>0</v>
      </c>
      <c r="E60" s="18" t="n">
        <f aca="false">-(IF(A60=הנחות!$B$16-1,'כתב כמויות'!$I$21,0)+IF(AND(A60&gt;=הנחות!$B$16,A60&lt;הנחות!$B$16+הנחות!$B$17),'כתב כמויות'!$I$22/הנחות!$B$17,0)+IF(AND(A60&gt;=הנחות!$B$16,A60&lt;הנחות!$B$16+הנחות!$B$12),הנחות!$B$11,0))</f>
        <v>-3000</v>
      </c>
      <c r="F60" s="18" t="n">
        <f aca="false">D60+E60</f>
        <v>-3000</v>
      </c>
      <c r="G60" s="18" t="n">
        <f aca="false">G59+F60</f>
        <v>213476.3</v>
      </c>
    </row>
    <row r="61" customFormat="false" ht="15" hidden="false" customHeight="false" outlineLevel="0" collapsed="false">
      <c r="A61" s="29" t="n">
        <v>54</v>
      </c>
      <c r="B61" s="18" t="n">
        <f aca="false">IF(A61=הנחות!$B$16,'כתב כמויות'!$H$21,0)</f>
        <v>0</v>
      </c>
      <c r="C61" s="18" t="n">
        <f aca="false">IF(AND(A61&gt;=הנחות!$B$16,A61&lt;הנחות!$B$16+הנחות!$B$17),'כתב כמויות'!$H$22/הנחות!$B$17,0)</f>
        <v>0</v>
      </c>
      <c r="D61" s="18" t="n">
        <f aca="false">IF(A61-ROUND(הנחות!$B$14,0)&gt;=0,INDEX($B$7:$B$73,A61-ROUND(הנחות!$B$14,0)+1)+INDEX($C$7:$C$73,A61-ROUND(הנחות!$B$14,0)+1),0)</f>
        <v>0</v>
      </c>
      <c r="E61" s="18" t="n">
        <f aca="false">-(IF(A61=הנחות!$B$16-1,'כתב כמויות'!$I$21,0)+IF(AND(A61&gt;=הנחות!$B$16,A61&lt;הנחות!$B$16+הנחות!$B$17),'כתב כמויות'!$I$22/הנחות!$B$17,0)+IF(AND(A61&gt;=הנחות!$B$16,A61&lt;הנחות!$B$16+הנחות!$B$12),הנחות!$B$11,0))</f>
        <v>-3000</v>
      </c>
      <c r="F61" s="18" t="n">
        <f aca="false">D61+E61</f>
        <v>-3000</v>
      </c>
      <c r="G61" s="18" t="n">
        <f aca="false">G60+F61</f>
        <v>210476.3</v>
      </c>
    </row>
    <row r="62" customFormat="false" ht="15" hidden="false" customHeight="false" outlineLevel="0" collapsed="false">
      <c r="A62" s="29" t="n">
        <v>55</v>
      </c>
      <c r="B62" s="18" t="n">
        <f aca="false">IF(A62=הנחות!$B$16,'כתב כמויות'!$H$21,0)</f>
        <v>0</v>
      </c>
      <c r="C62" s="18" t="n">
        <f aca="false">IF(AND(A62&gt;=הנחות!$B$16,A62&lt;הנחות!$B$16+הנחות!$B$17),'כתב כמויות'!$H$22/הנחות!$B$17,0)</f>
        <v>0</v>
      </c>
      <c r="D62" s="18" t="n">
        <f aca="false">IF(A62-ROUND(הנחות!$B$14,0)&gt;=0,INDEX($B$7:$B$73,A62-ROUND(הנחות!$B$14,0)+1)+INDEX($C$7:$C$73,A62-ROUND(הנחות!$B$14,0)+1),0)</f>
        <v>0</v>
      </c>
      <c r="E62" s="18" t="n">
        <f aca="false">-(IF(A62=הנחות!$B$16-1,'כתב כמויות'!$I$21,0)+IF(AND(A62&gt;=הנחות!$B$16,A62&lt;הנחות!$B$16+הנחות!$B$17),'כתב כמויות'!$I$22/הנחות!$B$17,0)+IF(AND(A62&gt;=הנחות!$B$16,A62&lt;הנחות!$B$16+הנחות!$B$12),הנחות!$B$11,0))</f>
        <v>-3000</v>
      </c>
      <c r="F62" s="18" t="n">
        <f aca="false">D62+E62</f>
        <v>-3000</v>
      </c>
      <c r="G62" s="18" t="n">
        <f aca="false">G61+F62</f>
        <v>207476.3</v>
      </c>
    </row>
    <row r="63" customFormat="false" ht="15" hidden="false" customHeight="false" outlineLevel="0" collapsed="false">
      <c r="A63" s="29" t="n">
        <v>56</v>
      </c>
      <c r="B63" s="18" t="n">
        <f aca="false">IF(A63=הנחות!$B$16,'כתב כמויות'!$H$21,0)</f>
        <v>0</v>
      </c>
      <c r="C63" s="18" t="n">
        <f aca="false">IF(AND(A63&gt;=הנחות!$B$16,A63&lt;הנחות!$B$16+הנחות!$B$17),'כתב כמויות'!$H$22/הנחות!$B$17,0)</f>
        <v>0</v>
      </c>
      <c r="D63" s="18" t="n">
        <f aca="false">IF(A63-ROUND(הנחות!$B$14,0)&gt;=0,INDEX($B$7:$B$73,A63-ROUND(הנחות!$B$14,0)+1)+INDEX($C$7:$C$73,A63-ROUND(הנחות!$B$14,0)+1),0)</f>
        <v>0</v>
      </c>
      <c r="E63" s="18" t="n">
        <f aca="false">-(IF(A63=הנחות!$B$16-1,'כתב כמויות'!$I$21,0)+IF(AND(A63&gt;=הנחות!$B$16,A63&lt;הנחות!$B$16+הנחות!$B$17),'כתב כמויות'!$I$22/הנחות!$B$17,0)+IF(AND(A63&gt;=הנחות!$B$16,A63&lt;הנחות!$B$16+הנחות!$B$12),הנחות!$B$11,0))</f>
        <v>-3000</v>
      </c>
      <c r="F63" s="18" t="n">
        <f aca="false">D63+E63</f>
        <v>-3000</v>
      </c>
      <c r="G63" s="18" t="n">
        <f aca="false">G62+F63</f>
        <v>204476.3</v>
      </c>
    </row>
    <row r="64" customFormat="false" ht="15" hidden="false" customHeight="false" outlineLevel="0" collapsed="false">
      <c r="A64" s="29" t="n">
        <v>57</v>
      </c>
      <c r="B64" s="18" t="n">
        <f aca="false">IF(A64=הנחות!$B$16,'כתב כמויות'!$H$21,0)</f>
        <v>0</v>
      </c>
      <c r="C64" s="18" t="n">
        <f aca="false">IF(AND(A64&gt;=הנחות!$B$16,A64&lt;הנחות!$B$16+הנחות!$B$17),'כתב כמויות'!$H$22/הנחות!$B$17,0)</f>
        <v>0</v>
      </c>
      <c r="D64" s="18" t="n">
        <f aca="false">IF(A64-ROUND(הנחות!$B$14,0)&gt;=0,INDEX($B$7:$B$73,A64-ROUND(הנחות!$B$14,0)+1)+INDEX($C$7:$C$73,A64-ROUND(הנחות!$B$14,0)+1),0)</f>
        <v>0</v>
      </c>
      <c r="E64" s="18" t="n">
        <f aca="false">-(IF(A64=הנחות!$B$16-1,'כתב כמויות'!$I$21,0)+IF(AND(A64&gt;=הנחות!$B$16,A64&lt;הנחות!$B$16+הנחות!$B$17),'כתב כמויות'!$I$22/הנחות!$B$17,0)+IF(AND(A64&gt;=הנחות!$B$16,A64&lt;הנחות!$B$16+הנחות!$B$12),הנחות!$B$11,0))</f>
        <v>-3000</v>
      </c>
      <c r="F64" s="18" t="n">
        <f aca="false">D64+E64</f>
        <v>-3000</v>
      </c>
      <c r="G64" s="18" t="n">
        <f aca="false">G63+F64</f>
        <v>201476.3</v>
      </c>
    </row>
    <row r="65" customFormat="false" ht="15" hidden="false" customHeight="false" outlineLevel="0" collapsed="false">
      <c r="A65" s="29" t="n">
        <v>58</v>
      </c>
      <c r="B65" s="18" t="n">
        <f aca="false">IF(A65=הנחות!$B$16,'כתב כמויות'!$H$21,0)</f>
        <v>0</v>
      </c>
      <c r="C65" s="18" t="n">
        <f aca="false">IF(AND(A65&gt;=הנחות!$B$16,A65&lt;הנחות!$B$16+הנחות!$B$17),'כתב כמויות'!$H$22/הנחות!$B$17,0)</f>
        <v>0</v>
      </c>
      <c r="D65" s="18" t="n">
        <f aca="false">IF(A65-ROUND(הנחות!$B$14,0)&gt;=0,INDEX($B$7:$B$73,A65-ROUND(הנחות!$B$14,0)+1)+INDEX($C$7:$C$73,A65-ROUND(הנחות!$B$14,0)+1),0)</f>
        <v>0</v>
      </c>
      <c r="E65" s="18" t="n">
        <f aca="false">-(IF(A65=הנחות!$B$16-1,'כתב כמויות'!$I$21,0)+IF(AND(A65&gt;=הנחות!$B$16,A65&lt;הנחות!$B$16+הנחות!$B$17),'כתב כמויות'!$I$22/הנחות!$B$17,0)+IF(AND(A65&gt;=הנחות!$B$16,A65&lt;הנחות!$B$16+הנחות!$B$12),הנחות!$B$11,0))</f>
        <v>-3000</v>
      </c>
      <c r="F65" s="18" t="n">
        <f aca="false">D65+E65</f>
        <v>-3000</v>
      </c>
      <c r="G65" s="18" t="n">
        <f aca="false">G64+F65</f>
        <v>198476.3</v>
      </c>
    </row>
    <row r="66" customFormat="false" ht="15" hidden="false" customHeight="false" outlineLevel="0" collapsed="false">
      <c r="A66" s="29" t="n">
        <v>59</v>
      </c>
      <c r="B66" s="18" t="n">
        <f aca="false">IF(A66=הנחות!$B$16,'כתב כמויות'!$H$21,0)</f>
        <v>0</v>
      </c>
      <c r="C66" s="18" t="n">
        <f aca="false">IF(AND(A66&gt;=הנחות!$B$16,A66&lt;הנחות!$B$16+הנחות!$B$17),'כתב כמויות'!$H$22/הנחות!$B$17,0)</f>
        <v>0</v>
      </c>
      <c r="D66" s="18" t="n">
        <f aca="false">IF(A66-ROUND(הנחות!$B$14,0)&gt;=0,INDEX($B$7:$B$73,A66-ROUND(הנחות!$B$14,0)+1)+INDEX($C$7:$C$73,A66-ROUND(הנחות!$B$14,0)+1),0)</f>
        <v>0</v>
      </c>
      <c r="E66" s="18" t="n">
        <f aca="false">-(IF(A66=הנחות!$B$16-1,'כתב כמויות'!$I$21,0)+IF(AND(A66&gt;=הנחות!$B$16,A66&lt;הנחות!$B$16+הנחות!$B$17),'כתב כמויות'!$I$22/הנחות!$B$17,0)+IF(AND(A66&gt;=הנחות!$B$16,A66&lt;הנחות!$B$16+הנחות!$B$12),הנחות!$B$11,0))</f>
        <v>-3000</v>
      </c>
      <c r="F66" s="18" t="n">
        <f aca="false">D66+E66</f>
        <v>-3000</v>
      </c>
      <c r="G66" s="18" t="n">
        <f aca="false">G65+F66</f>
        <v>195476.3</v>
      </c>
    </row>
    <row r="67" customFormat="false" ht="15" hidden="false" customHeight="false" outlineLevel="0" collapsed="false">
      <c r="A67" s="29" t="n">
        <v>60</v>
      </c>
      <c r="B67" s="18" t="n">
        <f aca="false">IF(A67=הנחות!$B$16,'כתב כמויות'!$H$21,0)</f>
        <v>0</v>
      </c>
      <c r="C67" s="18" t="n">
        <f aca="false">IF(AND(A67&gt;=הנחות!$B$16,A67&lt;הנחות!$B$16+הנחות!$B$17),'כתב כמויות'!$H$22/הנחות!$B$17,0)</f>
        <v>0</v>
      </c>
      <c r="D67" s="18" t="n">
        <f aca="false">IF(A67-ROUND(הנחות!$B$14,0)&gt;=0,INDEX($B$7:$B$73,A67-ROUND(הנחות!$B$14,0)+1)+INDEX($C$7:$C$73,A67-ROUND(הנחות!$B$14,0)+1),0)</f>
        <v>0</v>
      </c>
      <c r="E67" s="18" t="n">
        <f aca="false">-(IF(A67=הנחות!$B$16-1,'כתב כמויות'!$I$21,0)+IF(AND(A67&gt;=הנחות!$B$16,A67&lt;הנחות!$B$16+הנחות!$B$17),'כתב כמויות'!$I$22/הנחות!$B$17,0)+IF(AND(A67&gt;=הנחות!$B$16,A67&lt;הנחות!$B$16+הנחות!$B$12),הנחות!$B$11,0))</f>
        <v>-3000</v>
      </c>
      <c r="F67" s="18" t="n">
        <f aca="false">D67+E67</f>
        <v>-3000</v>
      </c>
      <c r="G67" s="18" t="n">
        <f aca="false">G66+F67</f>
        <v>192476.3</v>
      </c>
    </row>
    <row r="68" customFormat="false" ht="15" hidden="false" customHeight="false" outlineLevel="0" collapsed="false">
      <c r="A68" s="29" t="n">
        <v>61</v>
      </c>
      <c r="B68" s="18" t="n">
        <f aca="false">IF(A68=הנחות!$B$16,'כתב כמויות'!$H$21,0)</f>
        <v>0</v>
      </c>
      <c r="C68" s="18" t="n">
        <f aca="false">IF(AND(A68&gt;=הנחות!$B$16,A68&lt;הנחות!$B$16+הנחות!$B$17),'כתב כמויות'!$H$22/הנחות!$B$17,0)</f>
        <v>0</v>
      </c>
      <c r="D68" s="18" t="n">
        <f aca="false">IF(A68-ROUND(הנחות!$B$14,0)&gt;=0,INDEX($B$7:$B$73,A68-ROUND(הנחות!$B$14,0)+1)+INDEX($C$7:$C$73,A68-ROUND(הנחות!$B$14,0)+1),0)</f>
        <v>0</v>
      </c>
      <c r="E68" s="18" t="n">
        <f aca="false">-(IF(A68=הנחות!$B$16-1,'כתב כמויות'!$I$21,0)+IF(AND(A68&gt;=הנחות!$B$16,A68&lt;הנחות!$B$16+הנחות!$B$17),'כתב כמויות'!$I$22/הנחות!$B$17,0)+IF(AND(A68&gt;=הנחות!$B$16,A68&lt;הנחות!$B$16+הנחות!$B$12),הנחות!$B$11,0))</f>
        <v>-3000</v>
      </c>
      <c r="F68" s="18" t="n">
        <f aca="false">D68+E68</f>
        <v>-3000</v>
      </c>
      <c r="G68" s="18" t="n">
        <f aca="false">G67+F68</f>
        <v>189476.3</v>
      </c>
    </row>
    <row r="69" customFormat="false" ht="15" hidden="false" customHeight="false" outlineLevel="0" collapsed="false">
      <c r="A69" s="29" t="n">
        <v>62</v>
      </c>
      <c r="B69" s="18" t="n">
        <f aca="false">IF(A69=הנחות!$B$16,'כתב כמויות'!$H$21,0)</f>
        <v>0</v>
      </c>
      <c r="C69" s="18" t="n">
        <f aca="false">IF(AND(A69&gt;=הנחות!$B$16,A69&lt;הנחות!$B$16+הנחות!$B$17),'כתב כמויות'!$H$22/הנחות!$B$17,0)</f>
        <v>0</v>
      </c>
      <c r="D69" s="18" t="n">
        <f aca="false">IF(A69-ROUND(הנחות!$B$14,0)&gt;=0,INDEX($B$7:$B$73,A69-ROUND(הנחות!$B$14,0)+1)+INDEX($C$7:$C$73,A69-ROUND(הנחות!$B$14,0)+1),0)</f>
        <v>0</v>
      </c>
      <c r="E69" s="18" t="n">
        <f aca="false">-(IF(A69=הנחות!$B$16-1,'כתב כמויות'!$I$21,0)+IF(AND(A69&gt;=הנחות!$B$16,A69&lt;הנחות!$B$16+הנחות!$B$17),'כתב כמויות'!$I$22/הנחות!$B$17,0)+IF(AND(A69&gt;=הנחות!$B$16,A69&lt;הנחות!$B$16+הנחות!$B$12),הנחות!$B$11,0))</f>
        <v>-3000</v>
      </c>
      <c r="F69" s="18" t="n">
        <f aca="false">D69+E69</f>
        <v>-3000</v>
      </c>
      <c r="G69" s="18" t="n">
        <f aca="false">G68+F69</f>
        <v>186476.3</v>
      </c>
    </row>
    <row r="70" customFormat="false" ht="15" hidden="false" customHeight="false" outlineLevel="0" collapsed="false">
      <c r="A70" s="29" t="n">
        <v>63</v>
      </c>
      <c r="B70" s="18" t="n">
        <f aca="false">IF(A70=הנחות!$B$16,'כתב כמויות'!$H$21,0)</f>
        <v>0</v>
      </c>
      <c r="C70" s="18" t="n">
        <f aca="false">IF(AND(A70&gt;=הנחות!$B$16,A70&lt;הנחות!$B$16+הנחות!$B$17),'כתב כמויות'!$H$22/הנחות!$B$17,0)</f>
        <v>0</v>
      </c>
      <c r="D70" s="18" t="n">
        <f aca="false">IF(A70-ROUND(הנחות!$B$14,0)&gt;=0,INDEX($B$7:$B$73,A70-ROUND(הנחות!$B$14,0)+1)+INDEX($C$7:$C$73,A70-ROUND(הנחות!$B$14,0)+1),0)</f>
        <v>0</v>
      </c>
      <c r="E70" s="18" t="n">
        <f aca="false">-(IF(A70=הנחות!$B$16-1,'כתב כמויות'!$I$21,0)+IF(AND(A70&gt;=הנחות!$B$16,A70&lt;הנחות!$B$16+הנחות!$B$17),'כתב כמויות'!$I$22/הנחות!$B$17,0)+IF(AND(A70&gt;=הנחות!$B$16,A70&lt;הנחות!$B$16+הנחות!$B$12),הנחות!$B$11,0))</f>
        <v>-3000</v>
      </c>
      <c r="F70" s="18" t="n">
        <f aca="false">D70+E70</f>
        <v>-3000</v>
      </c>
      <c r="G70" s="18" t="n">
        <f aca="false">G69+F70</f>
        <v>183476.3</v>
      </c>
    </row>
    <row r="71" customFormat="false" ht="15" hidden="false" customHeight="false" outlineLevel="0" collapsed="false">
      <c r="A71" s="29" t="n">
        <v>64</v>
      </c>
      <c r="B71" s="18" t="n">
        <f aca="false">IF(A71=הנחות!$B$16,'כתב כמויות'!$H$21,0)</f>
        <v>0</v>
      </c>
      <c r="C71" s="18" t="n">
        <f aca="false">IF(AND(A71&gt;=הנחות!$B$16,A71&lt;הנחות!$B$16+הנחות!$B$17),'כתב כמויות'!$H$22/הנחות!$B$17,0)</f>
        <v>0</v>
      </c>
      <c r="D71" s="18" t="n">
        <f aca="false">IF(A71-ROUND(הנחות!$B$14,0)&gt;=0,INDEX($B$7:$B$73,A71-ROUND(הנחות!$B$14,0)+1)+INDEX($C$7:$C$73,A71-ROUND(הנחות!$B$14,0)+1),0)</f>
        <v>0</v>
      </c>
      <c r="E71" s="18" t="n">
        <f aca="false">-(IF(A71=הנחות!$B$16-1,'כתב כמויות'!$I$21,0)+IF(AND(A71&gt;=הנחות!$B$16,A71&lt;הנחות!$B$16+הנחות!$B$17),'כתב כמויות'!$I$22/הנחות!$B$17,0)+IF(AND(A71&gt;=הנחות!$B$16,A71&lt;הנחות!$B$16+הנחות!$B$12),הנחות!$B$11,0))</f>
        <v>-0</v>
      </c>
      <c r="F71" s="18" t="n">
        <f aca="false">D71+E71</f>
        <v>0</v>
      </c>
      <c r="G71" s="18" t="n">
        <f aca="false">G70+F71</f>
        <v>183476.3</v>
      </c>
    </row>
    <row r="72" customFormat="false" ht="15" hidden="false" customHeight="false" outlineLevel="0" collapsed="false">
      <c r="A72" s="29" t="n">
        <v>65</v>
      </c>
      <c r="B72" s="18" t="n">
        <f aca="false">IF(A72=הנחות!$B$16,'כתב כמויות'!$H$21,0)</f>
        <v>0</v>
      </c>
      <c r="C72" s="18" t="n">
        <f aca="false">IF(AND(A72&gt;=הנחות!$B$16,A72&lt;הנחות!$B$16+הנחות!$B$17),'כתב כמויות'!$H$22/הנחות!$B$17,0)</f>
        <v>0</v>
      </c>
      <c r="D72" s="18" t="n">
        <f aca="false">IF(A72-ROUND(הנחות!$B$14,0)&gt;=0,INDEX($B$7:$B$73,A72-ROUND(הנחות!$B$14,0)+1)+INDEX($C$7:$C$73,A72-ROUND(הנחות!$B$14,0)+1),0)</f>
        <v>0</v>
      </c>
      <c r="E72" s="18" t="n">
        <f aca="false">-(IF(A72=הנחות!$B$16-1,'כתב כמויות'!$I$21,0)+IF(AND(A72&gt;=הנחות!$B$16,A72&lt;הנחות!$B$16+הנחות!$B$17),'כתב כמויות'!$I$22/הנחות!$B$17,0)+IF(AND(A72&gt;=הנחות!$B$16,A72&lt;הנחות!$B$16+הנחות!$B$12),הנחות!$B$11,0))</f>
        <v>-0</v>
      </c>
      <c r="F72" s="18" t="n">
        <f aca="false">D72+E72</f>
        <v>0</v>
      </c>
      <c r="G72" s="18" t="n">
        <f aca="false">G71+F72</f>
        <v>183476.3</v>
      </c>
    </row>
    <row r="73" customFormat="false" ht="15" hidden="false" customHeight="false" outlineLevel="0" collapsed="false">
      <c r="A73" s="29" t="n">
        <v>66</v>
      </c>
      <c r="B73" s="18" t="n">
        <f aca="false">IF(A73=הנחות!$B$16,'כתב כמויות'!$H$21,0)</f>
        <v>0</v>
      </c>
      <c r="C73" s="18" t="n">
        <f aca="false">IF(AND(A73&gt;=הנחות!$B$16,A73&lt;הנחות!$B$16+הנחות!$B$17),'כתב כמויות'!$H$22/הנחות!$B$17,0)</f>
        <v>0</v>
      </c>
      <c r="D73" s="18" t="n">
        <f aca="false">IF(A73-ROUND(הנחות!$B$14,0)&gt;=0,INDEX($B$7:$B$73,A73-ROUND(הנחות!$B$14,0)+1)+INDEX($C$7:$C$73,A73-ROUND(הנחות!$B$14,0)+1),0)</f>
        <v>0</v>
      </c>
      <c r="E73" s="18" t="n">
        <f aca="false">-(IF(A73=הנחות!$B$16-1,'כתב כמויות'!$I$21,0)+IF(AND(A73&gt;=הנחות!$B$16,A73&lt;הנחות!$B$16+הנחות!$B$17),'כתב כמויות'!$I$22/הנחות!$B$17,0)+IF(AND(A73&gt;=הנחות!$B$16,A73&lt;הנחות!$B$16+הנחות!$B$12),הנחות!$B$11,0))</f>
        <v>-0</v>
      </c>
      <c r="F73" s="18" t="n">
        <f aca="false">D73+E73</f>
        <v>0</v>
      </c>
      <c r="G73" s="18" t="n">
        <f aca="false">G72+F73</f>
        <v>183476.3</v>
      </c>
    </row>
  </sheetData>
  <mergeCells count="3">
    <mergeCell ref="A2:B2"/>
    <mergeCell ref="A3:B3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2026-10-29T16:09:43Z</dcterms:created>
  <dc:creator>openpyxl</dc:creator>
  <dc:description/>
  <dc:language>en-US</dc:language>
  <cp:lastModifiedBy/>
  <dcterms:modified xsi:type="dcterms:W3CDTF">2026-10-29T16:09:43Z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