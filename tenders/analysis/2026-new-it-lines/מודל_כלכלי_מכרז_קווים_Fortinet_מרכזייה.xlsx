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קרא" sheetId="1" state="visible" r:id="rId3"/>
    <sheet name="הנחות" sheetId="2" state="visible" r:id="rId4"/>
    <sheet name="כתב כמויות" sheetId="3" state="visible" r:id="rId5"/>
    <sheet name="סיכום והשוואה" sheetId="4" state="visible" r:id="rId6"/>
    <sheet name="תזרים" sheetId="5" state="visible" r:id="rId7"/>
    <sheet name="שגיאות בטופס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<sst xmlns="http://schemas.openxmlformats.org/spreadsheetml/2006/main" count="226" uniqueCount="165">
  <si>
    <t xml:space="preserve">מודל כלכלי – מכרז עירייה: קווי תקשורת, Fortinet ומרכזייה בענן (שם המכרז לא ידוע)</t>
  </si>
  <si>
    <t xml:space="preserve">המודל מבוסס על כתב הכמויות בלבד. חסרים מחוברת המכרז: שיטת הניקוד, תקופת ההתקשרות, תנאי תשלום, הצמדה ותנאי סף. כשהחוברת תגיע – לעדכן את גיליון "הנחות".</t>
  </si>
  <si>
    <t xml:space="preserve">מוסכמות: כחול = קלט. צהוב = הנחה לאמת מול HOT. שחור = נוסחה. ירוק = קישור מגיליון אחר. אדום = רכיב מפסיד או שגיאה בטופס.</t>
  </si>
  <si>
    <t xml:space="preserve">גיליונות:</t>
  </si>
  <si>
    <t xml:space="preserve">הנחות – תקופה, הנחה לכל קטגוריה, פיגור תשלום, היוון, האם הספק המכהן מגיש.</t>
  </si>
  <si>
    <t xml:space="preserve">כתב כמויות – 29 הסעיפים, מחיר מרבי, ההצעה שלנו, עלות, מרווח, וחלוקה לחודשי / חד-פעמי.</t>
  </si>
  <si>
    <t xml:space="preserve">סיכום והשוואה – סך ההצעה לפי שני בסיסי השוואה אפשריים, ורווחיות לפי קטגוריה.</t>
  </si>
  <si>
    <t xml:space="preserve">תזרים – 60 חודשים: חומרה ועבודה מראש, הכנסה חודשית, NPV וחשיפה מרבית.</t>
  </si>
  <si>
    <t xml:space="preserve">שגיאות בטופס – ליקויים בכתב הכמויות שמשפיעים על ההשוואה (בסיס לשאלות ההבהרה).</t>
  </si>
  <si>
    <t xml:space="preserve">הנחות</t>
  </si>
  <si>
    <t xml:space="preserve">הנחה</t>
  </si>
  <si>
    <t xml:space="preserve">ערך</t>
  </si>
  <si>
    <t xml:space="preserve">הסבר</t>
  </si>
  <si>
    <t xml:space="preserve">תקופת ההתקשרות הבסיסית (חודשים)</t>
  </si>
  <si>
    <t xml:space="preserve">לא ידוע – הערות הטופס מזכירות תמיכה ל-3 שנים וסעיף 9 "החל משנה רביעית".</t>
  </si>
  <si>
    <t xml:space="preserve">חודשי אופציה צפויים (מעבר לבסיס)</t>
  </si>
  <si>
    <t xml:space="preserve">לא ידוע. סעיף 9 (תחזוקה 2,000 ₪) מתחיל רק בשנה הרביעית.</t>
  </si>
  <si>
    <t xml:space="preserve">הנחה על קווי תקשורת (סעיפים 10–22)</t>
  </si>
  <si>
    <t xml:space="preserve">ליבת HOT – המקום לתחרות.</t>
  </si>
  <si>
    <t xml:space="preserve">הנחה על מרכזייה בענן (סעיף 4)</t>
  </si>
  <si>
    <t xml:space="preserve">הנחה על רישוי Fortinet SaaS (סעיפים 1–3)</t>
  </si>
  <si>
    <t xml:space="preserve">מחיר יצרן – מרווח מוגבל.</t>
  </si>
  <si>
    <t xml:space="preserve">הנחה על חומרה (סעיפים 23–28)</t>
  </si>
  <si>
    <t xml:space="preserve">מחיר יצרן צמוד דולר.</t>
  </si>
  <si>
    <t xml:space="preserve">הנחה על שעות עבודה (סעיפים 5–8, 29)</t>
  </si>
  <si>
    <t xml:space="preserve">הנחה על תחזוקה משנה רביעית (סעיף 9)</t>
  </si>
  <si>
    <t xml:space="preserve">הספק המכהן מגיש הצעה? (1 = כן, 0 = לא)</t>
  </si>
  <si>
    <t xml:space="preserve">לפי הערות הטופס: אם כן – סעיף 7 לא נכלל בהשוואה, ומכסת השעות שלו יורדת ל-10.</t>
  </si>
  <si>
    <t xml:space="preserve">פיגור תשלום (חודשים)</t>
  </si>
  <si>
    <t xml:space="preserve">לא ידוע – הנחה (שוטף + 45 ועוד אישור).</t>
  </si>
  <si>
    <t xml:space="preserve">שיעור היוון שנתי</t>
  </si>
  <si>
    <t xml:space="preserve">חודש התקנת ציוד וקווים (תחילת חיוב חודשי)</t>
  </si>
  <si>
    <t xml:space="preserve">הנחה.</t>
  </si>
  <si>
    <t xml:space="preserve">עלות שעת עבודה פנימית</t>
  </si>
  <si>
    <t xml:space="preserve">הערכה – לאמת.</t>
  </si>
  <si>
    <t xml:space="preserve">נגזרות</t>
  </si>
  <si>
    <t xml:space="preserve">סה"כ חודשי התקשרות</t>
  </si>
  <si>
    <t xml:space="preserve">חודשים עם תחזוקה משנה רביעית (סעיף 9)</t>
  </si>
  <si>
    <t xml:space="preserve">כתב כמויות – מחירים מרביים, ההצעה שלנו ועלויות</t>
  </si>
  <si>
    <t xml:space="preserve">#</t>
  </si>
  <si>
    <t xml:space="preserve">רכיב</t>
  </si>
  <si>
    <t xml:space="preserve">קטגוריה</t>
  </si>
  <si>
    <t xml:space="preserve">סוג תשלום</t>
  </si>
  <si>
    <t xml:space="preserve">כמות</t>
  </si>
  <si>
    <t xml:space="preserve">מחיר מרבי ליחידה</t>
  </si>
  <si>
    <t xml:space="preserve">המחיר שלנו ליחידה</t>
  </si>
  <si>
    <t xml:space="preserve">עלות שלנו ליחידה</t>
  </si>
  <si>
    <t xml:space="preserve">סה"כ מרבי</t>
  </si>
  <si>
    <t xml:space="preserve">סה"כ שלנו</t>
  </si>
  <si>
    <t xml:space="preserve">סה"כ עלות</t>
  </si>
  <si>
    <t xml:space="preserve">מרווח</t>
  </si>
  <si>
    <t xml:space="preserve">הערת עלות (הערכה – לאמת)</t>
  </si>
  <si>
    <t xml:space="preserve">FortiNAC Cloud SaaS ל-400 התקנים</t>
  </si>
  <si>
    <t xml:space="preserve">Fortinet SaaS</t>
  </si>
  <si>
    <t xml:space="preserve">חודשי</t>
  </si>
  <si>
    <t xml:space="preserve">~75% ממחיר מרבי.</t>
  </si>
  <si>
    <t xml:space="preserve">FortiAnalyzer Cloud SaaS (NTA/NPM), שמירה 24 ח', FortiCare</t>
  </si>
  <si>
    <t xml:space="preserve">FortiManager Cloud SaaS (NCM) עד 50 התקנים, FortiCare</t>
  </si>
  <si>
    <t xml:space="preserve">מרכזייה בענן + DR, 200 שלוחות, SIP trunk, טווח מספרים, Call Center, 10,000 דקות, 2037*</t>
  </si>
  <si>
    <t xml:space="preserve">מרכזייה</t>
  </si>
  <si>
    <t xml:space="preserve">פלטפורמת HOT: 200 × ~6 ₪ + דקות + DR. עלות 2037* לא ידועה.</t>
  </si>
  <si>
    <t xml:space="preserve">הקמת מערך FortiNAC (מכסת שעות)</t>
  </si>
  <si>
    <t xml:space="preserve">שעות עבודה</t>
  </si>
  <si>
    <t xml:space="preserve">חד-פעמי</t>
  </si>
  <si>
    <t xml:space="preserve">הקמת מערך ניהול רשת (FortiAnalyzer &amp; FortiManager)</t>
  </si>
  <si>
    <t xml:space="preserve">הקמת מרכזייה Hosted IPT (מכסת שעות)</t>
  </si>
  <si>
    <t xml:space="preserve">לא נכלל בהשוואה אם המכהן מגיש.</t>
  </si>
  <si>
    <t xml:space="preserve">הגדרת FortiGate, מתגים ורשתות אלחוטיות</t>
  </si>
  <si>
    <t xml:space="preserve">תחזוקת רשת פנימית (מתגים, AP, מחשבים) – משנה רביעית</t>
  </si>
  <si>
    <t xml:space="preserve">תחזוקה</t>
  </si>
  <si>
    <t xml:space="preserve">חודשי משנה 4</t>
  </si>
  <si>
    <t xml:space="preserve">קו IP/מטרו 200M + אינטרנט + IP</t>
  </si>
  <si>
    <t xml:space="preserve">קווים</t>
  </si>
  <si>
    <t xml:space="preserve">עלות On-Net – הערכה.</t>
  </si>
  <si>
    <t xml:space="preserve">קו IP/מטרו 150M + אינטרנט + IP</t>
  </si>
  <si>
    <t xml:space="preserve">קו IP/מטרו 300/150M + אינטרנט + IP</t>
  </si>
  <si>
    <t xml:space="preserve">זול מ-200M (סעיף 10) – חריג.</t>
  </si>
  <si>
    <t xml:space="preserve">קו אינטרנט על סיב 500/100M + IP (IPVPN)</t>
  </si>
  <si>
    <t xml:space="preserve">קו IPVPN GPON 500/500M + ניהול ציוד + חיבור טלפון</t>
  </si>
  <si>
    <t xml:space="preserve">בטופס המקורי הסעיף לא נסכם!</t>
  </si>
  <si>
    <t xml:space="preserve">קו P2P 150M</t>
  </si>
  <si>
    <t xml:space="preserve">קו P2P 200M</t>
  </si>
  <si>
    <t xml:space="preserve">קו תמסורת ייעודי 1G לאתר ראשי + ניטור</t>
  </si>
  <si>
    <t xml:space="preserve">קו Private Profile לסניפים + ניטור</t>
  </si>
  <si>
    <t xml:space="preserve">ציוד תקשורת לאתר ראשי (שכירות)</t>
  </si>
  <si>
    <t xml:space="preserve">התקנה חד-פעמית לאתר (סעיפים 17+18)</t>
  </si>
  <si>
    <t xml:space="preserve">בטופס המקורי מופיע בעמודה החודשית!</t>
  </si>
  <si>
    <t xml:space="preserve">קו IPVPN GPON 1000/1000M + ניהול ציוד + חיבור טלפון</t>
  </si>
  <si>
    <t xml:space="preserve">קו אופטי GPON 1000/1000M ללא אינטרנט</t>
  </si>
  <si>
    <t xml:space="preserve">כמות לא צוינה בטופס.</t>
  </si>
  <si>
    <t xml:space="preserve">מתג FS-124F-FPOE + 36 ח' תמיכה (או שו"ע)</t>
  </si>
  <si>
    <t xml:space="preserve">חומרה</t>
  </si>
  <si>
    <t xml:space="preserve">מחיר מפיץ – לאמת. צמוד דולר.</t>
  </si>
  <si>
    <t xml:space="preserve">מתג FS-148F-FPOE + 36 ח' תמיכה (או שו"ע)</t>
  </si>
  <si>
    <t xml:space="preserve">FortiGate FG-71G + 36 ח' FortiCare (או שו"ע)</t>
  </si>
  <si>
    <t xml:space="preserve">FortiGate FG-121G + 36 ח' FortiCare (או שו"ע)</t>
  </si>
  <si>
    <t xml:space="preserve">FortiGate FG-51G + 36 ח' FortiCare (או שו"ע)</t>
  </si>
  <si>
    <t xml:space="preserve">FortiAP 231G + 3Y UTM + FortiCare</t>
  </si>
  <si>
    <t xml:space="preserve">חשד: מחיר מרבי נמוך מעלות השוק – לאמת.</t>
  </si>
  <si>
    <t xml:space="preserve">פירוק ציוד ישן</t>
  </si>
  <si>
    <t xml:space="preserve">מחיר מרבי 150 ₪ – נמוך מעלות שעה.</t>
  </si>
  <si>
    <t xml:space="preserve">סיכום והשוואה</t>
  </si>
  <si>
    <t xml:space="preserve">סכום</t>
  </si>
  <si>
    <t xml:space="preserve">מרבי</t>
  </si>
  <si>
    <t xml:space="preserve">שלנו</t>
  </si>
  <si>
    <t xml:space="preserve">עלות</t>
  </si>
  <si>
    <t xml:space="preserve">חודשי (מהחודש הראשון)</t>
  </si>
  <si>
    <t xml:space="preserve">חודשי משנה רביעית (סעיף 9)</t>
  </si>
  <si>
    <t xml:space="preserve">סעיף 7 (מוחרג מההשוואה אם המכהן מגיש)</t>
  </si>
  <si>
    <t xml:space="preserve">בסיס השוואה א': סה"כ חודשי בלבד (כמו הנוסחאות בטופס)</t>
  </si>
  <si>
    <t xml:space="preserve">בסיס השוואה ב': עלות כוללת לתקופה (חודשי × חודשים + חד-פעמי)</t>
  </si>
  <si>
    <t xml:space="preserve">הערה: שיטת ההשוואה לא מוגדרת בטופס (שורת הסה"כ ריקה). שאלת הבהרה 2.</t>
  </si>
  <si>
    <t xml:space="preserve">רווחיות לתקופה</t>
  </si>
  <si>
    <t xml:space="preserve">הכנסה לתקופה</t>
  </si>
  <si>
    <t xml:space="preserve">עלות לתקופה</t>
  </si>
  <si>
    <t xml:space="preserve">רווח</t>
  </si>
  <si>
    <t xml:space="preserve">סה"כ</t>
  </si>
  <si>
    <t xml:space="preserve">תזרים חודשי (60 חודשים)</t>
  </si>
  <si>
    <t xml:space="preserve">רווח (צבירה) לתקופה</t>
  </si>
  <si>
    <t xml:space="preserve">NPV של התזרים</t>
  </si>
  <si>
    <t xml:space="preserve">חשיפת מזומנים מרבית</t>
  </si>
  <si>
    <t xml:space="preserve">הנחה: החומרה ושעות ההקמה משולמות לספקים בחודש 1, והחשבון החד-פעמי לעירייה מוגש בחודש ההתקנה. תנאי תשלום בפועל – לפי חוברת המכרז.</t>
  </si>
  <si>
    <t xml:space="preserve">חודש</t>
  </si>
  <si>
    <t xml:space="preserve">הכנסה (צבירה)</t>
  </si>
  <si>
    <t xml:space="preserve">עלות חודשית</t>
  </si>
  <si>
    <t xml:space="preserve">עלות חד-פעמית</t>
  </si>
  <si>
    <t xml:space="preserve">רווח (צבירה)</t>
  </si>
  <si>
    <t xml:space="preserve">תקבול</t>
  </si>
  <si>
    <t xml:space="preserve">תזרים נטו</t>
  </si>
  <si>
    <t xml:space="preserve">מצטבר</t>
  </si>
  <si>
    <t xml:space="preserve">ליקויים בכתב הכמויות</t>
  </si>
  <si>
    <t xml:space="preserve">סעיף</t>
  </si>
  <si>
    <t xml:space="preserve">ליקוי</t>
  </si>
  <si>
    <t xml:space="preserve">השפעה</t>
  </si>
  <si>
    <t xml:space="preserve">14</t>
  </si>
  <si>
    <t xml:space="preserve">אין נוסחת סכום (G16 ריק): 24 קווים × 300 ₪ לא נכללים בסה"כ החודשי.</t>
  </si>
  <si>
    <t xml:space="preserve">7,200 ₪ לחודש חסרים בהשוואה.</t>
  </si>
  <si>
    <t xml:space="preserve">שורת "סה"כ לפני מע"מ" ריקה, בלי נוסחה. לא מוגדר אם ההשוואה חודשית, חד-פעמית או כוללת.</t>
  </si>
  <si>
    <t xml:space="preserve">שיטת ההשוואה לא ידועה.</t>
  </si>
  <si>
    <t xml:space="preserve">5–8, 29</t>
  </si>
  <si>
    <t xml:space="preserve">המחיר החד-פעמי נרשם כטקסט ("250 לשעה") בעמודת התשלום החד-פעמי; נוסחת הסה"כ כופלת את העמודה החודשית (ריקה) ומחזירה 0.</t>
  </si>
  <si>
    <t xml:space="preserve">סעיפי השעות לא נכנסים לסה"כ.</t>
  </si>
  <si>
    <t xml:space="preserve">23–28</t>
  </si>
  <si>
    <t xml:space="preserve">כמות כטקסט ("15 יח'") ומחיר כטקסט ("4700 ליחידה"); אין נוסחאות סכום לחד-פעמי (עמודה H ריקה).</t>
  </si>
  <si>
    <t xml:space="preserve">כל החומרה (~246,500 ₪) מחוץ לסה"כ.</t>
  </si>
  <si>
    <t xml:space="preserve">20</t>
  </si>
  <si>
    <t xml:space="preserve">התקנה חד-פעמית רשומה בעמודה החודשית (1,500 ₪ לחודש).</t>
  </si>
  <si>
    <t xml:space="preserve">מעוות את הסה"כ החודשי.</t>
  </si>
  <si>
    <t xml:space="preserve">9</t>
  </si>
  <si>
    <t xml:space="preserve">תחזוקה "החל משנה רביעית" נסכמת בסה"כ החודשי מהחודש הראשון (ערך קבוע 2,000).</t>
  </si>
  <si>
    <t xml:space="preserve">מנפח את ההשוואה החודשית.</t>
  </si>
  <si>
    <t xml:space="preserve">4</t>
  </si>
  <si>
    <t xml:space="preserve">סה"כ רשום כערך קבוע (3,500) ולא כנוסחה.</t>
  </si>
  <si>
    <t xml:space="preserve">לא יתעדכן אם הכמות תשתנה.</t>
  </si>
  <si>
    <t xml:space="preserve">22</t>
  </si>
  <si>
    <t xml:space="preserve">כמות לא צוינה.</t>
  </si>
  <si>
    <t xml:space="preserve">לא ידוע אם נכלל בהשוואה.</t>
  </si>
  <si>
    <t xml:space="preserve">19, 20</t>
  </si>
  <si>
    <t xml:space="preserve">עמודת היחידה ריקה.</t>
  </si>
  <si>
    <t xml:space="preserve">23</t>
  </si>
  <si>
    <t xml:space="preserve">יחידה "קו" למתג.</t>
  </si>
  <si>
    <t xml:space="preserve">טעות סופר.</t>
  </si>
  <si>
    <t xml:space="preserve">12 מול 10</t>
  </si>
  <si>
    <t xml:space="preserve">קו 300/150M זול יותר (1,600) מקו 200M (1,850).</t>
  </si>
  <si>
    <t xml:space="preserve">לבדוק מפרט.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</si>
</sst>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%;\(0.0%\);\-"/>
    <numFmt numFmtId="167" formatCode="#,##0&quot; ₪&quot;;\(#,##0&quot; ₪)&quot;;\-"/>
    <numFmt numFmtId="168" formatCode="#,##0;\(#,##0\);\-"/>
    <numFmt numFmtId="169" formatCode="#,##0.00&quot; ₪&quot;;\(#,##0.00&quot; ₪)&quot;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26.85" hidden="false" customHeight="false" outlineLevel="0" collapsed="false">
      <c r="A5" s="4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3</v>
      </c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5" t="s">
        <v>9</v>
      </c>
    </row>
    <row r="3" customFormat="false" ht="48" hidden="false" customHeight="true" outlineLevel="0" collapsed="false">
      <c r="A3" s="6" t="s">
        <v>10</v>
      </c>
      <c r="B3" s="6" t="s">
        <v>11</v>
      </c>
      <c r="C3" s="6" t="s">
        <v>12</v>
      </c>
    </row>
    <row r="4" customFormat="false" ht="15" hidden="false" customHeight="false" outlineLevel="0" collapsed="false">
      <c r="A4" s="7" t="s">
        <v>13</v>
      </c>
      <c r="B4" s="8" t="n">
        <v>36</v>
      </c>
      <c r="C4" s="7" t="s">
        <v>14</v>
      </c>
    </row>
    <row r="5" customFormat="false" ht="15" hidden="false" customHeight="false" outlineLevel="0" collapsed="false">
      <c r="A5" s="7" t="s">
        <v>15</v>
      </c>
      <c r="B5" s="8" t="n">
        <v>0</v>
      </c>
      <c r="C5" s="7" t="s">
        <v>16</v>
      </c>
    </row>
    <row r="6" customFormat="false" ht="15" hidden="false" customHeight="false" outlineLevel="0" collapsed="false">
      <c r="A6" s="7" t="s">
        <v>17</v>
      </c>
      <c r="B6" s="9" t="n">
        <v>0</v>
      </c>
      <c r="C6" s="7" t="s">
        <v>18</v>
      </c>
    </row>
    <row r="7" customFormat="false" ht="15" hidden="false" customHeight="false" outlineLevel="0" collapsed="false">
      <c r="A7" s="7" t="s">
        <v>19</v>
      </c>
      <c r="B7" s="9" t="n">
        <v>0</v>
      </c>
      <c r="C7" s="7"/>
    </row>
    <row r="8" customFormat="false" ht="15" hidden="false" customHeight="false" outlineLevel="0" collapsed="false">
      <c r="A8" s="7" t="s">
        <v>20</v>
      </c>
      <c r="B8" s="9" t="n">
        <v>0</v>
      </c>
      <c r="C8" s="7" t="s">
        <v>21</v>
      </c>
    </row>
    <row r="9" customFormat="false" ht="15" hidden="false" customHeight="false" outlineLevel="0" collapsed="false">
      <c r="A9" s="7" t="s">
        <v>22</v>
      </c>
      <c r="B9" s="9" t="n">
        <v>0</v>
      </c>
      <c r="C9" s="7" t="s">
        <v>23</v>
      </c>
    </row>
    <row r="10" customFormat="false" ht="15" hidden="false" customHeight="false" outlineLevel="0" collapsed="false">
      <c r="A10" s="7" t="s">
        <v>24</v>
      </c>
      <c r="B10" s="9" t="n">
        <v>0</v>
      </c>
      <c r="C10" s="7"/>
    </row>
    <row r="11" customFormat="false" ht="15" hidden="false" customHeight="false" outlineLevel="0" collapsed="false">
      <c r="A11" s="7" t="s">
        <v>25</v>
      </c>
      <c r="B11" s="9" t="n">
        <v>0</v>
      </c>
      <c r="C11" s="7"/>
    </row>
    <row r="12" customFormat="false" ht="26.85" hidden="false" customHeight="false" outlineLevel="0" collapsed="false">
      <c r="A12" s="7" t="s">
        <v>26</v>
      </c>
      <c r="B12" s="8" t="n">
        <v>1</v>
      </c>
      <c r="C12" s="7" t="s">
        <v>27</v>
      </c>
    </row>
    <row r="13" customFormat="false" ht="15" hidden="false" customHeight="false" outlineLevel="0" collapsed="false">
      <c r="A13" s="7" t="s">
        <v>28</v>
      </c>
      <c r="B13" s="8" t="n">
        <v>2</v>
      </c>
      <c r="C13" s="7" t="s">
        <v>29</v>
      </c>
    </row>
    <row r="14" customFormat="false" ht="15" hidden="false" customHeight="false" outlineLevel="0" collapsed="false">
      <c r="A14" s="7" t="s">
        <v>30</v>
      </c>
      <c r="B14" s="9" t="n">
        <v>0.08</v>
      </c>
      <c r="C14" s="7"/>
    </row>
    <row r="15" customFormat="false" ht="15" hidden="false" customHeight="false" outlineLevel="0" collapsed="false">
      <c r="A15" s="7" t="s">
        <v>31</v>
      </c>
      <c r="B15" s="8" t="n">
        <v>2</v>
      </c>
      <c r="C15" s="7" t="s">
        <v>32</v>
      </c>
    </row>
    <row r="16" customFormat="false" ht="15" hidden="false" customHeight="false" outlineLevel="0" collapsed="false">
      <c r="A16" s="7" t="s">
        <v>33</v>
      </c>
      <c r="B16" s="10" t="n">
        <v>160</v>
      </c>
      <c r="C16" s="7" t="s">
        <v>34</v>
      </c>
    </row>
    <row r="18" customFormat="false" ht="15" hidden="false" customHeight="false" outlineLevel="0" collapsed="false">
      <c r="A18" s="11" t="s">
        <v>35</v>
      </c>
    </row>
    <row r="19" customFormat="false" ht="15" hidden="false" customHeight="false" outlineLevel="0" collapsed="false">
      <c r="A19" s="12" t="s">
        <v>36</v>
      </c>
      <c r="B19" s="13" t="n">
        <f aca="false">B4+B5</f>
        <v>36</v>
      </c>
    </row>
    <row r="20" customFormat="false" ht="15" hidden="false" customHeight="false" outlineLevel="0" collapsed="false">
      <c r="A20" s="12" t="s">
        <v>37</v>
      </c>
      <c r="B20" s="13" t="n">
        <f aca="false">MAX(0,B19-36)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11" min="9" style="0" width="13"/>
    <col collapsed="false" customWidth="true" hidden="false" outlineLevel="0" max="12" min="12" style="0" width="10"/>
    <col collapsed="false" customWidth="true" hidden="false" outlineLevel="0" max="13" min="13" style="0" width="44"/>
  </cols>
  <sheetData>
    <row r="1" customFormat="false" ht="17.15" hidden="false" customHeight="false" outlineLevel="0" collapsed="false">
      <c r="A1" s="5" t="s">
        <v>38</v>
      </c>
    </row>
    <row r="3" customFormat="false" ht="48" hidden="false" customHeight="true" outlineLevel="0" collapsed="false">
      <c r="A3" s="6" t="s">
        <v>39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  <c r="J3" s="6" t="s">
        <v>48</v>
      </c>
      <c r="K3" s="6" t="s">
        <v>49</v>
      </c>
      <c r="L3" s="6" t="s">
        <v>50</v>
      </c>
      <c r="M3" s="6" t="s">
        <v>51</v>
      </c>
    </row>
    <row r="4" customFormat="false" ht="30" hidden="false" customHeight="true" outlineLevel="0" collapsed="false">
      <c r="A4" s="12" t="n">
        <v>1</v>
      </c>
      <c r="B4" s="7" t="s">
        <v>52</v>
      </c>
      <c r="C4" s="12" t="s">
        <v>53</v>
      </c>
      <c r="D4" s="12" t="s">
        <v>54</v>
      </c>
      <c r="E4" s="14" t="n">
        <v>1</v>
      </c>
      <c r="F4" s="15" t="n">
        <v>1700</v>
      </c>
      <c r="G4" s="16" t="n">
        <f aca="false">F4*(1-הנחות!B8)</f>
        <v>1700</v>
      </c>
      <c r="H4" s="17" t="n">
        <v>1300</v>
      </c>
      <c r="I4" s="18" t="n">
        <f aca="false">E4*F4</f>
        <v>1700</v>
      </c>
      <c r="J4" s="18" t="n">
        <f aca="false">E4*G4</f>
        <v>1700</v>
      </c>
      <c r="K4" s="18" t="n">
        <f aca="false">E4*H4</f>
        <v>1300</v>
      </c>
      <c r="L4" s="19" t="n">
        <f aca="false">IF(G4&gt;0,(G4-H4)/G4,0)</f>
        <v>0.235294117647059</v>
      </c>
      <c r="M4" s="7" t="s">
        <v>55</v>
      </c>
    </row>
    <row r="5" customFormat="false" ht="30" hidden="false" customHeight="true" outlineLevel="0" collapsed="false">
      <c r="A5" s="12" t="n">
        <v>2</v>
      </c>
      <c r="B5" s="7" t="s">
        <v>56</v>
      </c>
      <c r="C5" s="12" t="s">
        <v>53</v>
      </c>
      <c r="D5" s="12" t="s">
        <v>54</v>
      </c>
      <c r="E5" s="14" t="n">
        <v>1</v>
      </c>
      <c r="F5" s="15" t="n">
        <v>1900</v>
      </c>
      <c r="G5" s="16" t="n">
        <f aca="false">F5*(1-הנחות!B8)</f>
        <v>1900</v>
      </c>
      <c r="H5" s="17" t="n">
        <v>1450</v>
      </c>
      <c r="I5" s="18" t="n">
        <f aca="false">E5*F5</f>
        <v>1900</v>
      </c>
      <c r="J5" s="18" t="n">
        <f aca="false">E5*G5</f>
        <v>1900</v>
      </c>
      <c r="K5" s="18" t="n">
        <f aca="false">E5*H5</f>
        <v>1450</v>
      </c>
      <c r="L5" s="19" t="n">
        <f aca="false">IF(G5&gt;0,(G5-H5)/G5,0)</f>
        <v>0.236842105263158</v>
      </c>
      <c r="M5" s="7"/>
    </row>
    <row r="6" customFormat="false" ht="30" hidden="false" customHeight="true" outlineLevel="0" collapsed="false">
      <c r="A6" s="12" t="n">
        <v>3</v>
      </c>
      <c r="B6" s="7" t="s">
        <v>57</v>
      </c>
      <c r="C6" s="12" t="s">
        <v>53</v>
      </c>
      <c r="D6" s="12" t="s">
        <v>54</v>
      </c>
      <c r="E6" s="14" t="n">
        <v>1</v>
      </c>
      <c r="F6" s="15" t="n">
        <v>1500</v>
      </c>
      <c r="G6" s="16" t="n">
        <f aca="false">F6*(1-הנחות!B8)</f>
        <v>1500</v>
      </c>
      <c r="H6" s="17" t="n">
        <v>1150</v>
      </c>
      <c r="I6" s="18" t="n">
        <f aca="false">E6*F6</f>
        <v>1500</v>
      </c>
      <c r="J6" s="18" t="n">
        <f aca="false">E6*G6</f>
        <v>1500</v>
      </c>
      <c r="K6" s="18" t="n">
        <f aca="false">E6*H6</f>
        <v>1150</v>
      </c>
      <c r="L6" s="19" t="n">
        <f aca="false">IF(G6&gt;0,(G6-H6)/G6,0)</f>
        <v>0.233333333333333</v>
      </c>
      <c r="M6" s="7"/>
    </row>
    <row r="7" customFormat="false" ht="30" hidden="false" customHeight="true" outlineLevel="0" collapsed="false">
      <c r="A7" s="12" t="n">
        <v>4</v>
      </c>
      <c r="B7" s="7" t="s">
        <v>58</v>
      </c>
      <c r="C7" s="12" t="s">
        <v>59</v>
      </c>
      <c r="D7" s="12" t="s">
        <v>54</v>
      </c>
      <c r="E7" s="14" t="n">
        <v>1</v>
      </c>
      <c r="F7" s="15" t="n">
        <v>3500</v>
      </c>
      <c r="G7" s="16" t="n">
        <f aca="false">F7*(1-הנחות!B7)</f>
        <v>3500</v>
      </c>
      <c r="H7" s="17" t="n">
        <v>1900</v>
      </c>
      <c r="I7" s="18" t="n">
        <f aca="false">E7*F7</f>
        <v>3500</v>
      </c>
      <c r="J7" s="18" t="n">
        <f aca="false">E7*G7</f>
        <v>3500</v>
      </c>
      <c r="K7" s="18" t="n">
        <f aca="false">E7*H7</f>
        <v>1900</v>
      </c>
      <c r="L7" s="19" t="n">
        <f aca="false">IF(G7&gt;0,(G7-H7)/G7,0)</f>
        <v>0.457142857142857</v>
      </c>
      <c r="M7" s="7" t="s">
        <v>60</v>
      </c>
    </row>
    <row r="8" customFormat="false" ht="30" hidden="false" customHeight="true" outlineLevel="0" collapsed="false">
      <c r="A8" s="12" t="n">
        <v>5</v>
      </c>
      <c r="B8" s="7" t="s">
        <v>61</v>
      </c>
      <c r="C8" s="12" t="s">
        <v>62</v>
      </c>
      <c r="D8" s="12" t="s">
        <v>63</v>
      </c>
      <c r="E8" s="14" t="n">
        <v>50</v>
      </c>
      <c r="F8" s="15" t="n">
        <v>250</v>
      </c>
      <c r="G8" s="16" t="n">
        <f aca="false">F8*(1-הנחות!B10)</f>
        <v>250</v>
      </c>
      <c r="H8" s="20" t="n">
        <f aca="false">הנחות!B16</f>
        <v>160</v>
      </c>
      <c r="I8" s="18" t="n">
        <f aca="false">E8*F8</f>
        <v>12500</v>
      </c>
      <c r="J8" s="18" t="n">
        <f aca="false">E8*G8</f>
        <v>12500</v>
      </c>
      <c r="K8" s="18" t="n">
        <f aca="false">E8*H8</f>
        <v>8000</v>
      </c>
      <c r="L8" s="19" t="n">
        <f aca="false">IF(G8&gt;0,(G8-H8)/G8,0)</f>
        <v>0.36</v>
      </c>
      <c r="M8" s="7"/>
    </row>
    <row r="9" customFormat="false" ht="30" hidden="false" customHeight="true" outlineLevel="0" collapsed="false">
      <c r="A9" s="12" t="n">
        <v>6</v>
      </c>
      <c r="B9" s="7" t="s">
        <v>64</v>
      </c>
      <c r="C9" s="12" t="s">
        <v>62</v>
      </c>
      <c r="D9" s="12" t="s">
        <v>63</v>
      </c>
      <c r="E9" s="14" t="n">
        <v>60</v>
      </c>
      <c r="F9" s="15" t="n">
        <v>250</v>
      </c>
      <c r="G9" s="16" t="n">
        <f aca="false">F9*(1-הנחות!B10)</f>
        <v>250</v>
      </c>
      <c r="H9" s="20" t="n">
        <f aca="false">הנחות!B16</f>
        <v>160</v>
      </c>
      <c r="I9" s="18" t="n">
        <f aca="false">E9*F9</f>
        <v>15000</v>
      </c>
      <c r="J9" s="18" t="n">
        <f aca="false">E9*G9</f>
        <v>15000</v>
      </c>
      <c r="K9" s="18" t="n">
        <f aca="false">E9*H9</f>
        <v>9600</v>
      </c>
      <c r="L9" s="19" t="n">
        <f aca="false">IF(G9&gt;0,(G9-H9)/G9,0)</f>
        <v>0.36</v>
      </c>
      <c r="M9" s="7"/>
    </row>
    <row r="10" customFormat="false" ht="30" hidden="false" customHeight="true" outlineLevel="0" collapsed="false">
      <c r="A10" s="12" t="n">
        <v>7</v>
      </c>
      <c r="B10" s="7" t="s">
        <v>65</v>
      </c>
      <c r="C10" s="12" t="s">
        <v>62</v>
      </c>
      <c r="D10" s="12" t="s">
        <v>63</v>
      </c>
      <c r="E10" s="14" t="n">
        <v>50</v>
      </c>
      <c r="F10" s="15" t="n">
        <v>220</v>
      </c>
      <c r="G10" s="16" t="n">
        <f aca="false">F10*(1-הנחות!B10)</f>
        <v>220</v>
      </c>
      <c r="H10" s="20" t="n">
        <f aca="false">הנחות!B16</f>
        <v>160</v>
      </c>
      <c r="I10" s="18" t="n">
        <f aca="false">E10*F10</f>
        <v>11000</v>
      </c>
      <c r="J10" s="18" t="n">
        <f aca="false">E10*G10</f>
        <v>11000</v>
      </c>
      <c r="K10" s="18" t="n">
        <f aca="false">E10*H10</f>
        <v>8000</v>
      </c>
      <c r="L10" s="19" t="n">
        <f aca="false">IF(G10&gt;0,(G10-H10)/G10,0)</f>
        <v>0.272727272727273</v>
      </c>
      <c r="M10" s="7" t="s">
        <v>66</v>
      </c>
    </row>
    <row r="11" customFormat="false" ht="30" hidden="false" customHeight="true" outlineLevel="0" collapsed="false">
      <c r="A11" s="12" t="n">
        <v>8</v>
      </c>
      <c r="B11" s="7" t="s">
        <v>67</v>
      </c>
      <c r="C11" s="12" t="s">
        <v>62</v>
      </c>
      <c r="D11" s="12" t="s">
        <v>63</v>
      </c>
      <c r="E11" s="14" t="n">
        <v>85</v>
      </c>
      <c r="F11" s="15" t="n">
        <v>220</v>
      </c>
      <c r="G11" s="16" t="n">
        <f aca="false">F11*(1-הנחות!B10)</f>
        <v>220</v>
      </c>
      <c r="H11" s="20" t="n">
        <f aca="false">הנחות!B16</f>
        <v>160</v>
      </c>
      <c r="I11" s="18" t="n">
        <f aca="false">E11*F11</f>
        <v>18700</v>
      </c>
      <c r="J11" s="18" t="n">
        <f aca="false">E11*G11</f>
        <v>18700</v>
      </c>
      <c r="K11" s="18" t="n">
        <f aca="false">E11*H11</f>
        <v>13600</v>
      </c>
      <c r="L11" s="19" t="n">
        <f aca="false">IF(G11&gt;0,(G11-H11)/G11,0)</f>
        <v>0.272727272727273</v>
      </c>
      <c r="M11" s="7"/>
    </row>
    <row r="12" customFormat="false" ht="30" hidden="false" customHeight="true" outlineLevel="0" collapsed="false">
      <c r="A12" s="12" t="n">
        <v>9</v>
      </c>
      <c r="B12" s="7" t="s">
        <v>68</v>
      </c>
      <c r="C12" s="12" t="s">
        <v>69</v>
      </c>
      <c r="D12" s="12" t="s">
        <v>70</v>
      </c>
      <c r="E12" s="14" t="n">
        <v>1</v>
      </c>
      <c r="F12" s="15" t="n">
        <v>2000</v>
      </c>
      <c r="G12" s="16" t="n">
        <f aca="false">F12*(1-הנחות!B11)</f>
        <v>2000</v>
      </c>
      <c r="H12" s="17" t="n">
        <v>1400</v>
      </c>
      <c r="I12" s="18" t="n">
        <f aca="false">E12*F12</f>
        <v>2000</v>
      </c>
      <c r="J12" s="18" t="n">
        <f aca="false">E12*G12</f>
        <v>2000</v>
      </c>
      <c r="K12" s="18" t="n">
        <f aca="false">E12*H12</f>
        <v>1400</v>
      </c>
      <c r="L12" s="19" t="n">
        <f aca="false">IF(G12&gt;0,(G12-H12)/G12,0)</f>
        <v>0.3</v>
      </c>
      <c r="M12" s="7"/>
    </row>
    <row r="13" customFormat="false" ht="30" hidden="false" customHeight="true" outlineLevel="0" collapsed="false">
      <c r="A13" s="12" t="n">
        <v>10</v>
      </c>
      <c r="B13" s="7" t="s">
        <v>71</v>
      </c>
      <c r="C13" s="12" t="s">
        <v>72</v>
      </c>
      <c r="D13" s="12" t="s">
        <v>54</v>
      </c>
      <c r="E13" s="14" t="n">
        <v>1</v>
      </c>
      <c r="F13" s="15" t="n">
        <v>1850</v>
      </c>
      <c r="G13" s="16" t="n">
        <f aca="false">F13*(1-הנחות!B6)</f>
        <v>1850</v>
      </c>
      <c r="H13" s="17" t="n">
        <v>750</v>
      </c>
      <c r="I13" s="18" t="n">
        <f aca="false">E13*F13</f>
        <v>1850</v>
      </c>
      <c r="J13" s="18" t="n">
        <f aca="false">E13*G13</f>
        <v>1850</v>
      </c>
      <c r="K13" s="18" t="n">
        <f aca="false">E13*H13</f>
        <v>750</v>
      </c>
      <c r="L13" s="19" t="n">
        <f aca="false">IF(G13&gt;0,(G13-H13)/G13,0)</f>
        <v>0.594594594594595</v>
      </c>
      <c r="M13" s="7" t="s">
        <v>73</v>
      </c>
    </row>
    <row r="14" customFormat="false" ht="30" hidden="false" customHeight="true" outlineLevel="0" collapsed="false">
      <c r="A14" s="12" t="n">
        <v>11</v>
      </c>
      <c r="B14" s="7" t="s">
        <v>74</v>
      </c>
      <c r="C14" s="12" t="s">
        <v>72</v>
      </c>
      <c r="D14" s="12" t="s">
        <v>54</v>
      </c>
      <c r="E14" s="14" t="n">
        <v>6</v>
      </c>
      <c r="F14" s="15" t="n">
        <v>1400</v>
      </c>
      <c r="G14" s="16" t="n">
        <f aca="false">F14*(1-הנחות!B6)</f>
        <v>1400</v>
      </c>
      <c r="H14" s="17" t="n">
        <v>600</v>
      </c>
      <c r="I14" s="18" t="n">
        <f aca="false">E14*F14</f>
        <v>8400</v>
      </c>
      <c r="J14" s="18" t="n">
        <f aca="false">E14*G14</f>
        <v>8400</v>
      </c>
      <c r="K14" s="18" t="n">
        <f aca="false">E14*H14</f>
        <v>3600</v>
      </c>
      <c r="L14" s="19" t="n">
        <f aca="false">IF(G14&gt;0,(G14-H14)/G14,0)</f>
        <v>0.571428571428571</v>
      </c>
      <c r="M14" s="7"/>
    </row>
    <row r="15" customFormat="false" ht="30" hidden="false" customHeight="true" outlineLevel="0" collapsed="false">
      <c r="A15" s="12" t="n">
        <v>12</v>
      </c>
      <c r="B15" s="7" t="s">
        <v>75</v>
      </c>
      <c r="C15" s="12" t="s">
        <v>72</v>
      </c>
      <c r="D15" s="12" t="s">
        <v>54</v>
      </c>
      <c r="E15" s="14" t="n">
        <v>1</v>
      </c>
      <c r="F15" s="15" t="n">
        <v>1600</v>
      </c>
      <c r="G15" s="16" t="n">
        <f aca="false">F15*(1-הנחות!B6)</f>
        <v>1600</v>
      </c>
      <c r="H15" s="17" t="n">
        <v>650</v>
      </c>
      <c r="I15" s="18" t="n">
        <f aca="false">E15*F15</f>
        <v>1600</v>
      </c>
      <c r="J15" s="18" t="n">
        <f aca="false">E15*G15</f>
        <v>1600</v>
      </c>
      <c r="K15" s="18" t="n">
        <f aca="false">E15*H15</f>
        <v>650</v>
      </c>
      <c r="L15" s="19" t="n">
        <f aca="false">IF(G15&gt;0,(G15-H15)/G15,0)</f>
        <v>0.59375</v>
      </c>
      <c r="M15" s="7" t="s">
        <v>76</v>
      </c>
    </row>
    <row r="16" customFormat="false" ht="30" hidden="false" customHeight="true" outlineLevel="0" collapsed="false">
      <c r="A16" s="12" t="n">
        <v>13</v>
      </c>
      <c r="B16" s="7" t="s">
        <v>77</v>
      </c>
      <c r="C16" s="12" t="s">
        <v>72</v>
      </c>
      <c r="D16" s="12" t="s">
        <v>54</v>
      </c>
      <c r="E16" s="14" t="n">
        <v>24</v>
      </c>
      <c r="F16" s="15" t="n">
        <v>240</v>
      </c>
      <c r="G16" s="16" t="n">
        <f aca="false">F16*(1-הנחות!B6)</f>
        <v>240</v>
      </c>
      <c r="H16" s="17" t="n">
        <v>120</v>
      </c>
      <c r="I16" s="18" t="n">
        <f aca="false">E16*F16</f>
        <v>5760</v>
      </c>
      <c r="J16" s="18" t="n">
        <f aca="false">E16*G16</f>
        <v>5760</v>
      </c>
      <c r="K16" s="18" t="n">
        <f aca="false">E16*H16</f>
        <v>2880</v>
      </c>
      <c r="L16" s="19" t="n">
        <f aca="false">IF(G16&gt;0,(G16-H16)/G16,0)</f>
        <v>0.5</v>
      </c>
      <c r="M16" s="7"/>
    </row>
    <row r="17" customFormat="false" ht="30" hidden="false" customHeight="true" outlineLevel="0" collapsed="false">
      <c r="A17" s="12" t="n">
        <v>14</v>
      </c>
      <c r="B17" s="7" t="s">
        <v>78</v>
      </c>
      <c r="C17" s="12" t="s">
        <v>72</v>
      </c>
      <c r="D17" s="12" t="s">
        <v>54</v>
      </c>
      <c r="E17" s="14" t="n">
        <v>24</v>
      </c>
      <c r="F17" s="15" t="n">
        <v>300</v>
      </c>
      <c r="G17" s="16" t="n">
        <f aca="false">F17*(1-הנחות!B6)</f>
        <v>300</v>
      </c>
      <c r="H17" s="17" t="n">
        <v>170</v>
      </c>
      <c r="I17" s="18" t="n">
        <f aca="false">E17*F17</f>
        <v>7200</v>
      </c>
      <c r="J17" s="18" t="n">
        <f aca="false">E17*G17</f>
        <v>7200</v>
      </c>
      <c r="K17" s="18" t="n">
        <f aca="false">E17*H17</f>
        <v>4080</v>
      </c>
      <c r="L17" s="19" t="n">
        <f aca="false">IF(G17&gt;0,(G17-H17)/G17,0)</f>
        <v>0.433333333333333</v>
      </c>
      <c r="M17" s="7" t="s">
        <v>79</v>
      </c>
    </row>
    <row r="18" customFormat="false" ht="30" hidden="false" customHeight="true" outlineLevel="0" collapsed="false">
      <c r="A18" s="12" t="n">
        <v>15</v>
      </c>
      <c r="B18" s="7" t="s">
        <v>80</v>
      </c>
      <c r="C18" s="12" t="s">
        <v>72</v>
      </c>
      <c r="D18" s="12" t="s">
        <v>54</v>
      </c>
      <c r="E18" s="14" t="n">
        <v>1</v>
      </c>
      <c r="F18" s="15" t="n">
        <v>1400</v>
      </c>
      <c r="G18" s="16" t="n">
        <f aca="false">F18*(1-הנחות!B6)</f>
        <v>1400</v>
      </c>
      <c r="H18" s="17" t="n">
        <v>600</v>
      </c>
      <c r="I18" s="18" t="n">
        <f aca="false">E18*F18</f>
        <v>1400</v>
      </c>
      <c r="J18" s="18" t="n">
        <f aca="false">E18*G18</f>
        <v>1400</v>
      </c>
      <c r="K18" s="18" t="n">
        <f aca="false">E18*H18</f>
        <v>600</v>
      </c>
      <c r="L18" s="19" t="n">
        <f aca="false">IF(G18&gt;0,(G18-H18)/G18,0)</f>
        <v>0.571428571428571</v>
      </c>
      <c r="M18" s="7"/>
    </row>
    <row r="19" customFormat="false" ht="30" hidden="false" customHeight="true" outlineLevel="0" collapsed="false">
      <c r="A19" s="12" t="n">
        <v>16</v>
      </c>
      <c r="B19" s="7" t="s">
        <v>81</v>
      </c>
      <c r="C19" s="12" t="s">
        <v>72</v>
      </c>
      <c r="D19" s="12" t="s">
        <v>54</v>
      </c>
      <c r="E19" s="14" t="n">
        <v>1</v>
      </c>
      <c r="F19" s="15" t="n">
        <v>1850</v>
      </c>
      <c r="G19" s="16" t="n">
        <f aca="false">F19*(1-הנחות!B6)</f>
        <v>1850</v>
      </c>
      <c r="H19" s="17" t="n">
        <v>700</v>
      </c>
      <c r="I19" s="18" t="n">
        <f aca="false">E19*F19</f>
        <v>1850</v>
      </c>
      <c r="J19" s="18" t="n">
        <f aca="false">E19*G19</f>
        <v>1850</v>
      </c>
      <c r="K19" s="18" t="n">
        <f aca="false">E19*H19</f>
        <v>700</v>
      </c>
      <c r="L19" s="19" t="n">
        <f aca="false">IF(G19&gt;0,(G19-H19)/G19,0)</f>
        <v>0.621621621621622</v>
      </c>
      <c r="M19" s="7"/>
    </row>
    <row r="20" customFormat="false" ht="30" hidden="false" customHeight="true" outlineLevel="0" collapsed="false">
      <c r="A20" s="12" t="n">
        <v>17</v>
      </c>
      <c r="B20" s="7" t="s">
        <v>82</v>
      </c>
      <c r="C20" s="12" t="s">
        <v>72</v>
      </c>
      <c r="D20" s="12" t="s">
        <v>54</v>
      </c>
      <c r="E20" s="14" t="n">
        <v>1</v>
      </c>
      <c r="F20" s="15" t="n">
        <v>2000</v>
      </c>
      <c r="G20" s="16" t="n">
        <f aca="false">F20*(1-הנחות!B6)</f>
        <v>2000</v>
      </c>
      <c r="H20" s="17" t="n">
        <v>900</v>
      </c>
      <c r="I20" s="18" t="n">
        <f aca="false">E20*F20</f>
        <v>2000</v>
      </c>
      <c r="J20" s="18" t="n">
        <f aca="false">E20*G20</f>
        <v>2000</v>
      </c>
      <c r="K20" s="18" t="n">
        <f aca="false">E20*H20</f>
        <v>900</v>
      </c>
      <c r="L20" s="19" t="n">
        <f aca="false">IF(G20&gt;0,(G20-H20)/G20,0)</f>
        <v>0.55</v>
      </c>
      <c r="M20" s="7"/>
    </row>
    <row r="21" customFormat="false" ht="30" hidden="false" customHeight="true" outlineLevel="0" collapsed="false">
      <c r="A21" s="12" t="n">
        <v>18</v>
      </c>
      <c r="B21" s="7" t="s">
        <v>83</v>
      </c>
      <c r="C21" s="12" t="s">
        <v>72</v>
      </c>
      <c r="D21" s="12" t="s">
        <v>54</v>
      </c>
      <c r="E21" s="14" t="n">
        <v>1</v>
      </c>
      <c r="F21" s="15" t="n">
        <v>400</v>
      </c>
      <c r="G21" s="16" t="n">
        <f aca="false">F21*(1-הנחות!B6)</f>
        <v>400</v>
      </c>
      <c r="H21" s="17" t="n">
        <v>200</v>
      </c>
      <c r="I21" s="18" t="n">
        <f aca="false">E21*F21</f>
        <v>400</v>
      </c>
      <c r="J21" s="18" t="n">
        <f aca="false">E21*G21</f>
        <v>400</v>
      </c>
      <c r="K21" s="18" t="n">
        <f aca="false">E21*H21</f>
        <v>200</v>
      </c>
      <c r="L21" s="19" t="n">
        <f aca="false">IF(G21&gt;0,(G21-H21)/G21,0)</f>
        <v>0.5</v>
      </c>
      <c r="M21" s="7"/>
    </row>
    <row r="22" customFormat="false" ht="30" hidden="false" customHeight="true" outlineLevel="0" collapsed="false">
      <c r="A22" s="12" t="n">
        <v>19</v>
      </c>
      <c r="B22" s="7" t="s">
        <v>84</v>
      </c>
      <c r="C22" s="12" t="s">
        <v>72</v>
      </c>
      <c r="D22" s="12" t="s">
        <v>54</v>
      </c>
      <c r="E22" s="14" t="n">
        <v>1</v>
      </c>
      <c r="F22" s="15" t="n">
        <v>300</v>
      </c>
      <c r="G22" s="16" t="n">
        <f aca="false">F22*(1-הנחות!B6)</f>
        <v>300</v>
      </c>
      <c r="H22" s="17" t="n">
        <v>150</v>
      </c>
      <c r="I22" s="18" t="n">
        <f aca="false">E22*F22</f>
        <v>300</v>
      </c>
      <c r="J22" s="18" t="n">
        <f aca="false">E22*G22</f>
        <v>300</v>
      </c>
      <c r="K22" s="18" t="n">
        <f aca="false">E22*H22</f>
        <v>150</v>
      </c>
      <c r="L22" s="19" t="n">
        <f aca="false">IF(G22&gt;0,(G22-H22)/G22,0)</f>
        <v>0.5</v>
      </c>
      <c r="M22" s="7"/>
    </row>
    <row r="23" customFormat="false" ht="30" hidden="false" customHeight="true" outlineLevel="0" collapsed="false">
      <c r="A23" s="12" t="n">
        <v>20</v>
      </c>
      <c r="B23" s="7" t="s">
        <v>85</v>
      </c>
      <c r="C23" s="12" t="s">
        <v>72</v>
      </c>
      <c r="D23" s="12" t="s">
        <v>63</v>
      </c>
      <c r="E23" s="14" t="n">
        <v>1</v>
      </c>
      <c r="F23" s="15" t="n">
        <v>1500</v>
      </c>
      <c r="G23" s="16" t="n">
        <f aca="false">F23*(1-הנחות!B6)</f>
        <v>1500</v>
      </c>
      <c r="H23" s="17" t="n">
        <v>1200</v>
      </c>
      <c r="I23" s="18" t="n">
        <f aca="false">E23*F23</f>
        <v>1500</v>
      </c>
      <c r="J23" s="18" t="n">
        <f aca="false">E23*G23</f>
        <v>1500</v>
      </c>
      <c r="K23" s="18" t="n">
        <f aca="false">E23*H23</f>
        <v>1200</v>
      </c>
      <c r="L23" s="19" t="n">
        <f aca="false">IF(G23&gt;0,(G23-H23)/G23,0)</f>
        <v>0.2</v>
      </c>
      <c r="M23" s="7" t="s">
        <v>86</v>
      </c>
    </row>
    <row r="24" customFormat="false" ht="30" hidden="false" customHeight="true" outlineLevel="0" collapsed="false">
      <c r="A24" s="12" t="n">
        <v>21</v>
      </c>
      <c r="B24" s="7" t="s">
        <v>87</v>
      </c>
      <c r="C24" s="12" t="s">
        <v>72</v>
      </c>
      <c r="D24" s="12" t="s">
        <v>54</v>
      </c>
      <c r="E24" s="14" t="n">
        <v>1</v>
      </c>
      <c r="F24" s="15" t="n">
        <v>560</v>
      </c>
      <c r="G24" s="16" t="n">
        <f aca="false">F24*(1-הנחות!B6)</f>
        <v>560</v>
      </c>
      <c r="H24" s="17" t="n">
        <v>300</v>
      </c>
      <c r="I24" s="18" t="n">
        <f aca="false">E24*F24</f>
        <v>560</v>
      </c>
      <c r="J24" s="18" t="n">
        <f aca="false">E24*G24</f>
        <v>560</v>
      </c>
      <c r="K24" s="18" t="n">
        <f aca="false">E24*H24</f>
        <v>300</v>
      </c>
      <c r="L24" s="19" t="n">
        <f aca="false">IF(G24&gt;0,(G24-H24)/G24,0)</f>
        <v>0.464285714285714</v>
      </c>
      <c r="M24" s="7"/>
    </row>
    <row r="25" customFormat="false" ht="30" hidden="false" customHeight="true" outlineLevel="0" collapsed="false">
      <c r="A25" s="12" t="n">
        <v>22</v>
      </c>
      <c r="B25" s="7" t="s">
        <v>88</v>
      </c>
      <c r="C25" s="12" t="s">
        <v>72</v>
      </c>
      <c r="D25" s="12" t="s">
        <v>54</v>
      </c>
      <c r="E25" s="21" t="n">
        <v>0</v>
      </c>
      <c r="F25" s="15" t="n">
        <v>400</v>
      </c>
      <c r="G25" s="16" t="n">
        <f aca="false">F25*(1-הנחות!B6)</f>
        <v>400</v>
      </c>
      <c r="H25" s="17" t="n">
        <v>220</v>
      </c>
      <c r="I25" s="18" t="n">
        <f aca="false">E25*F25</f>
        <v>0</v>
      </c>
      <c r="J25" s="18" t="n">
        <f aca="false">E25*G25</f>
        <v>0</v>
      </c>
      <c r="K25" s="18" t="n">
        <f aca="false">E25*H25</f>
        <v>0</v>
      </c>
      <c r="L25" s="19" t="n">
        <f aca="false">IF(G25&gt;0,(G25-H25)/G25,0)</f>
        <v>0.45</v>
      </c>
      <c r="M25" s="7" t="s">
        <v>89</v>
      </c>
    </row>
    <row r="26" customFormat="false" ht="30" hidden="false" customHeight="true" outlineLevel="0" collapsed="false">
      <c r="A26" s="12" t="n">
        <v>23</v>
      </c>
      <c r="B26" s="7" t="s">
        <v>90</v>
      </c>
      <c r="C26" s="12" t="s">
        <v>91</v>
      </c>
      <c r="D26" s="12" t="s">
        <v>63</v>
      </c>
      <c r="E26" s="14" t="n">
        <v>15</v>
      </c>
      <c r="F26" s="15" t="n">
        <v>4700</v>
      </c>
      <c r="G26" s="16" t="n">
        <f aca="false">F26*(1-הנחות!B9)</f>
        <v>4700</v>
      </c>
      <c r="H26" s="17" t="n">
        <v>4200</v>
      </c>
      <c r="I26" s="18" t="n">
        <f aca="false">E26*F26</f>
        <v>70500</v>
      </c>
      <c r="J26" s="18" t="n">
        <f aca="false">E26*G26</f>
        <v>70500</v>
      </c>
      <c r="K26" s="18" t="n">
        <f aca="false">E26*H26</f>
        <v>63000</v>
      </c>
      <c r="L26" s="19" t="n">
        <f aca="false">IF(G26&gt;0,(G26-H26)/G26,0)</f>
        <v>0.106382978723404</v>
      </c>
      <c r="M26" s="7" t="s">
        <v>92</v>
      </c>
    </row>
    <row r="27" customFormat="false" ht="30" hidden="false" customHeight="true" outlineLevel="0" collapsed="false">
      <c r="A27" s="12" t="n">
        <v>24</v>
      </c>
      <c r="B27" s="7" t="s">
        <v>93</v>
      </c>
      <c r="C27" s="12" t="s">
        <v>91</v>
      </c>
      <c r="D27" s="12" t="s">
        <v>63</v>
      </c>
      <c r="E27" s="14" t="n">
        <v>1</v>
      </c>
      <c r="F27" s="15" t="n">
        <v>7000</v>
      </c>
      <c r="G27" s="16" t="n">
        <f aca="false">F27*(1-הנחות!B9)</f>
        <v>7000</v>
      </c>
      <c r="H27" s="17" t="n">
        <v>6300</v>
      </c>
      <c r="I27" s="18" t="n">
        <f aca="false">E27*F27</f>
        <v>7000</v>
      </c>
      <c r="J27" s="18" t="n">
        <f aca="false">E27*G27</f>
        <v>7000</v>
      </c>
      <c r="K27" s="18" t="n">
        <f aca="false">E27*H27</f>
        <v>6300</v>
      </c>
      <c r="L27" s="19" t="n">
        <f aca="false">IF(G27&gt;0,(G27-H27)/G27,0)</f>
        <v>0.1</v>
      </c>
      <c r="M27" s="7"/>
    </row>
    <row r="28" customFormat="false" ht="30" hidden="false" customHeight="true" outlineLevel="0" collapsed="false">
      <c r="A28" s="12" t="n">
        <v>25</v>
      </c>
      <c r="B28" s="7" t="s">
        <v>94</v>
      </c>
      <c r="C28" s="12" t="s">
        <v>91</v>
      </c>
      <c r="D28" s="12" t="s">
        <v>63</v>
      </c>
      <c r="E28" s="14" t="n">
        <v>4</v>
      </c>
      <c r="F28" s="15" t="n">
        <v>6500</v>
      </c>
      <c r="G28" s="16" t="n">
        <f aca="false">F28*(1-הנחות!B9)</f>
        <v>6500</v>
      </c>
      <c r="H28" s="17" t="n">
        <v>5800</v>
      </c>
      <c r="I28" s="18" t="n">
        <f aca="false">E28*F28</f>
        <v>26000</v>
      </c>
      <c r="J28" s="18" t="n">
        <f aca="false">E28*G28</f>
        <v>26000</v>
      </c>
      <c r="K28" s="18" t="n">
        <f aca="false">E28*H28</f>
        <v>23200</v>
      </c>
      <c r="L28" s="19" t="n">
        <f aca="false">IF(G28&gt;0,(G28-H28)/G28,0)</f>
        <v>0.107692307692308</v>
      </c>
      <c r="M28" s="7"/>
    </row>
    <row r="29" customFormat="false" ht="30" hidden="false" customHeight="true" outlineLevel="0" collapsed="false">
      <c r="A29" s="12" t="n">
        <v>26</v>
      </c>
      <c r="B29" s="7" t="s">
        <v>95</v>
      </c>
      <c r="C29" s="12" t="s">
        <v>91</v>
      </c>
      <c r="D29" s="12" t="s">
        <v>63</v>
      </c>
      <c r="E29" s="14" t="n">
        <v>1</v>
      </c>
      <c r="F29" s="15" t="n">
        <v>23000</v>
      </c>
      <c r="G29" s="16" t="n">
        <f aca="false">F29*(1-הנחות!B9)</f>
        <v>23000</v>
      </c>
      <c r="H29" s="17" t="n">
        <v>20500</v>
      </c>
      <c r="I29" s="18" t="n">
        <f aca="false">E29*F29</f>
        <v>23000</v>
      </c>
      <c r="J29" s="18" t="n">
        <f aca="false">E29*G29</f>
        <v>23000</v>
      </c>
      <c r="K29" s="18" t="n">
        <f aca="false">E29*H29</f>
        <v>20500</v>
      </c>
      <c r="L29" s="19" t="n">
        <f aca="false">IF(G29&gt;0,(G29-H29)/G29,0)</f>
        <v>0.108695652173913</v>
      </c>
      <c r="M29" s="7"/>
    </row>
    <row r="30" customFormat="false" ht="30" hidden="false" customHeight="true" outlineLevel="0" collapsed="false">
      <c r="A30" s="12" t="n">
        <v>27</v>
      </c>
      <c r="B30" s="7" t="s">
        <v>96</v>
      </c>
      <c r="C30" s="12" t="s">
        <v>91</v>
      </c>
      <c r="D30" s="12" t="s">
        <v>63</v>
      </c>
      <c r="E30" s="14" t="n">
        <v>24</v>
      </c>
      <c r="F30" s="15" t="n">
        <v>4500</v>
      </c>
      <c r="G30" s="16" t="n">
        <f aca="false">F30*(1-הנחות!B9)</f>
        <v>4500</v>
      </c>
      <c r="H30" s="17" t="n">
        <v>4000</v>
      </c>
      <c r="I30" s="18" t="n">
        <f aca="false">E30*F30</f>
        <v>108000</v>
      </c>
      <c r="J30" s="18" t="n">
        <f aca="false">E30*G30</f>
        <v>108000</v>
      </c>
      <c r="K30" s="18" t="n">
        <f aca="false">E30*H30</f>
        <v>96000</v>
      </c>
      <c r="L30" s="19" t="n">
        <f aca="false">IF(G30&gt;0,(G30-H30)/G30,0)</f>
        <v>0.111111111111111</v>
      </c>
      <c r="M30" s="7"/>
    </row>
    <row r="31" customFormat="false" ht="30" hidden="false" customHeight="true" outlineLevel="0" collapsed="false">
      <c r="A31" s="12" t="n">
        <v>28</v>
      </c>
      <c r="B31" s="7" t="s">
        <v>97</v>
      </c>
      <c r="C31" s="12" t="s">
        <v>91</v>
      </c>
      <c r="D31" s="12" t="s">
        <v>63</v>
      </c>
      <c r="E31" s="14" t="n">
        <v>10</v>
      </c>
      <c r="F31" s="15" t="n">
        <v>1200</v>
      </c>
      <c r="G31" s="16" t="n">
        <f aca="false">F31*(1-הנחות!B9)</f>
        <v>1200</v>
      </c>
      <c r="H31" s="17" t="n">
        <v>1400</v>
      </c>
      <c r="I31" s="18" t="n">
        <f aca="false">E31*F31</f>
        <v>12000</v>
      </c>
      <c r="J31" s="18" t="n">
        <f aca="false">E31*G31</f>
        <v>12000</v>
      </c>
      <c r="K31" s="18" t="n">
        <f aca="false">E31*H31</f>
        <v>14000</v>
      </c>
      <c r="L31" s="19" t="n">
        <f aca="false">IF(G31&gt;0,(G31-H31)/G31,0)</f>
        <v>-0.166666666666667</v>
      </c>
      <c r="M31" s="7" t="s">
        <v>98</v>
      </c>
    </row>
    <row r="32" customFormat="false" ht="30" hidden="false" customHeight="true" outlineLevel="0" collapsed="false">
      <c r="A32" s="12" t="n">
        <v>29</v>
      </c>
      <c r="B32" s="7" t="s">
        <v>99</v>
      </c>
      <c r="C32" s="12" t="s">
        <v>62</v>
      </c>
      <c r="D32" s="12" t="s">
        <v>63</v>
      </c>
      <c r="E32" s="14" t="n">
        <v>30</v>
      </c>
      <c r="F32" s="15" t="n">
        <v>150</v>
      </c>
      <c r="G32" s="16" t="n">
        <f aca="false">F32*(1-הנחות!B10)</f>
        <v>150</v>
      </c>
      <c r="H32" s="20" t="n">
        <f aca="false">הנחות!B16</f>
        <v>160</v>
      </c>
      <c r="I32" s="18" t="n">
        <f aca="false">E32*F32</f>
        <v>4500</v>
      </c>
      <c r="J32" s="18" t="n">
        <f aca="false">E32*G32</f>
        <v>4500</v>
      </c>
      <c r="K32" s="18" t="n">
        <f aca="false">E32*H32</f>
        <v>4800</v>
      </c>
      <c r="L32" s="19" t="n">
        <f aca="false">IF(G32&gt;0,(G32-H32)/G32,0)</f>
        <v>-0.0666666666666667</v>
      </c>
      <c r="M32" s="7" t="s">
        <v>100</v>
      </c>
    </row>
  </sheetData>
  <conditionalFormatting sqref="L4:L3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5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5" t="s">
        <v>101</v>
      </c>
    </row>
    <row r="3" customFormat="false" ht="48" hidden="false" customHeight="true" outlineLevel="0" collapsed="false">
      <c r="A3" s="6" t="s">
        <v>102</v>
      </c>
      <c r="B3" s="6" t="s">
        <v>103</v>
      </c>
      <c r="C3" s="6" t="s">
        <v>104</v>
      </c>
      <c r="D3" s="6" t="s">
        <v>105</v>
      </c>
      <c r="E3" s="6" t="s">
        <v>50</v>
      </c>
    </row>
    <row r="4" customFormat="false" ht="15" hidden="false" customHeight="false" outlineLevel="0" collapsed="false">
      <c r="A4" s="12" t="s">
        <v>106</v>
      </c>
      <c r="B4" s="18" t="n">
        <f aca="false">SUMIFS('כתב כמויות'!$I$4:$I$32,'כתב כמויות'!$D$4:$D$32,"חודשי")</f>
        <v>39920</v>
      </c>
      <c r="C4" s="18" t="n">
        <f aca="false">SUMIFS('כתב כמויות'!$J$4:$J$32,'כתב כמויות'!$D$4:$D$32,"חודשי")</f>
        <v>39920</v>
      </c>
      <c r="D4" s="18" t="n">
        <f aca="false">SUMIFS('כתב כמויות'!$K$4:$K$32,'כתב כמויות'!$D$4:$D$32,"חודשי")</f>
        <v>20610</v>
      </c>
      <c r="E4" s="19" t="n">
        <f aca="false">IF(C4&gt;0,(C4-D4)/C4,0)</f>
        <v>0.48371743486974</v>
      </c>
    </row>
    <row r="5" customFormat="false" ht="15" hidden="false" customHeight="false" outlineLevel="0" collapsed="false">
      <c r="A5" s="12" t="s">
        <v>107</v>
      </c>
      <c r="B5" s="18" t="n">
        <f aca="false">SUMIFS('כתב כמויות'!$I$4:$I$32,'כתב כמויות'!$D$4:$D$32,"חודשי משנה 4")</f>
        <v>2000</v>
      </c>
      <c r="C5" s="18" t="n">
        <f aca="false">SUMIFS('כתב כמויות'!$J$4:$J$32,'כתב כמויות'!$D$4:$D$32,"חודשי משנה 4")</f>
        <v>2000</v>
      </c>
      <c r="D5" s="18" t="n">
        <f aca="false">SUMIFS('כתב כמויות'!$K$4:$K$32,'כתב כמויות'!$D$4:$D$32,"חודשי משנה 4")</f>
        <v>1400</v>
      </c>
      <c r="E5" s="19" t="n">
        <f aca="false">IF(C5&gt;0,(C5-D5)/C5,0)</f>
        <v>0.3</v>
      </c>
    </row>
    <row r="6" customFormat="false" ht="15" hidden="false" customHeight="false" outlineLevel="0" collapsed="false">
      <c r="A6" s="12" t="s">
        <v>63</v>
      </c>
      <c r="B6" s="18" t="n">
        <f aca="false">SUMIFS('כתב כמויות'!$I$4:$I$32,'כתב כמויות'!$D$4:$D$32,"חד-פעמי")</f>
        <v>309700</v>
      </c>
      <c r="C6" s="18" t="n">
        <f aca="false">SUMIFS('כתב כמויות'!$J$4:$J$32,'כתב כמויות'!$D$4:$D$32,"חד-פעמי")</f>
        <v>309700</v>
      </c>
      <c r="D6" s="18" t="n">
        <f aca="false">SUMIFS('כתב כמויות'!$K$4:$K$32,'כתב כמויות'!$D$4:$D$32,"חד-פעמי")</f>
        <v>268200</v>
      </c>
      <c r="E6" s="19" t="n">
        <f aca="false">IF(C6&gt;0,(C6-D6)/C6,0)</f>
        <v>0.134000645786245</v>
      </c>
    </row>
    <row r="8" customFormat="false" ht="15" hidden="false" customHeight="false" outlineLevel="0" collapsed="false">
      <c r="A8" s="12" t="s">
        <v>108</v>
      </c>
      <c r="B8" s="18" t="n">
        <f aca="false">INDEX('כתב כמויות'!$I$4:$I$32,7)</f>
        <v>11000</v>
      </c>
      <c r="C8" s="18" t="n">
        <f aca="false">INDEX('כתב כמויות'!$J$4:$J$32,7)</f>
        <v>11000</v>
      </c>
      <c r="D8" s="18" t="n">
        <f aca="false">INDEX('כתב כמויות'!$K$4:$K$32,7)</f>
        <v>8000</v>
      </c>
    </row>
    <row r="10" customFormat="false" ht="26.85" hidden="false" customHeight="false" outlineLevel="0" collapsed="false">
      <c r="A10" s="22" t="s">
        <v>109</v>
      </c>
      <c r="B10" s="23" t="n">
        <f aca="false">B4</f>
        <v>39920</v>
      </c>
      <c r="C10" s="23" t="n">
        <f aca="false">C4</f>
        <v>39920</v>
      </c>
    </row>
    <row r="11" customFormat="false" ht="26.85" hidden="false" customHeight="false" outlineLevel="0" collapsed="false">
      <c r="A11" s="22" t="s">
        <v>110</v>
      </c>
      <c r="B11" s="23" t="n">
        <f aca="false">B4*הנחות!B19+B5*הנחות!B20+B6-הנחות!B12*B8</f>
        <v>1735820</v>
      </c>
      <c r="C11" s="23" t="n">
        <f aca="false">C4*הנחות!B19+C5*הנחות!B20+C6-הנחות!B12*C8</f>
        <v>1735820</v>
      </c>
    </row>
    <row r="12" customFormat="false" ht="15" hidden="false" customHeight="true" outlineLevel="0" collapsed="false">
      <c r="A12" s="7" t="s">
        <v>111</v>
      </c>
      <c r="B12" s="7"/>
      <c r="C12" s="7"/>
      <c r="D12" s="7"/>
      <c r="E12" s="7"/>
    </row>
    <row r="14" customFormat="false" ht="15" hidden="false" customHeight="false" outlineLevel="0" collapsed="false">
      <c r="A14" s="11" t="s">
        <v>112</v>
      </c>
    </row>
    <row r="15" customFormat="false" ht="48" hidden="false" customHeight="true" outlineLevel="0" collapsed="false">
      <c r="A15" s="6" t="s">
        <v>41</v>
      </c>
      <c r="B15" s="6" t="s">
        <v>113</v>
      </c>
      <c r="C15" s="6" t="s">
        <v>114</v>
      </c>
      <c r="D15" s="6" t="s">
        <v>115</v>
      </c>
      <c r="E15" s="6" t="s">
        <v>50</v>
      </c>
    </row>
    <row r="16" customFormat="false" ht="15" hidden="false" customHeight="false" outlineLevel="0" collapsed="false">
      <c r="A16" s="12" t="s">
        <v>72</v>
      </c>
      <c r="B16" s="18" t="n">
        <f aca="false">SUMPRODUCT(('כתב כמויות'!$C$4:$C$32="קווים")*'כתב כמויות'!$J$4:$J$32*IF('כתב כמויות'!$D$4:$D$32="חודשי",הנחות!$B$19,IF('כתב כמויות'!$D$4:$D$32="חודשי משנה 4",הנחות!$B$20,1)))</f>
        <v>1129020</v>
      </c>
      <c r="C16" s="18" t="n">
        <f aca="false">SUMPRODUCT(('כתב כמויות'!$C$4:$C$32="קווים")*'כתב כמויות'!$K$4:$K$32*IF('כתב כמויות'!$D$4:$D$32="חודשי",הנחות!$B$19,IF('כתב כמויות'!$D$4:$D$32="חודשי משנה 4",הנחות!$B$20,1)))</f>
        <v>534360</v>
      </c>
      <c r="D16" s="18" t="n">
        <f aca="false">B16-C16</f>
        <v>594660</v>
      </c>
      <c r="E16" s="19" t="n">
        <f aca="false">IF(B16&gt;0,D16/B16,0)</f>
        <v>0.526704575649678</v>
      </c>
    </row>
    <row r="17" customFormat="false" ht="15" hidden="false" customHeight="false" outlineLevel="0" collapsed="false">
      <c r="A17" s="12" t="s">
        <v>59</v>
      </c>
      <c r="B17" s="18" t="n">
        <f aca="false">SUMPRODUCT(('כתב כמויות'!$C$4:$C$32="מרכזייה")*'כתב כמויות'!$J$4:$J$32*IF('כתב כמויות'!$D$4:$D$32="חודשי",הנחות!$B$19,IF('כתב כמויות'!$D$4:$D$32="חודשי משנה 4",הנחות!$B$20,1)))</f>
        <v>126000</v>
      </c>
      <c r="C17" s="18" t="n">
        <f aca="false">SUMPRODUCT(('כתב כמויות'!$C$4:$C$32="מרכזייה")*'כתב כמויות'!$K$4:$K$32*IF('כתב כמויות'!$D$4:$D$32="חודשי",הנחות!$B$19,IF('כתב כמויות'!$D$4:$D$32="חודשי משנה 4",הנחות!$B$20,1)))</f>
        <v>68400</v>
      </c>
      <c r="D17" s="18" t="n">
        <f aca="false">B17-C17</f>
        <v>57600</v>
      </c>
      <c r="E17" s="19" t="n">
        <f aca="false">IF(B17&gt;0,D17/B17,0)</f>
        <v>0.457142857142857</v>
      </c>
    </row>
    <row r="18" customFormat="false" ht="15" hidden="false" customHeight="false" outlineLevel="0" collapsed="false">
      <c r="A18" s="12" t="s">
        <v>53</v>
      </c>
      <c r="B18" s="18" t="n">
        <f aca="false">SUMPRODUCT(('כתב כמויות'!$C$4:$C$32="Fortinet SaaS")*'כתב כמויות'!$J$4:$J$32*IF('כתב כמויות'!$D$4:$D$32="חודשי",הנחות!$B$19,IF('כתב כמויות'!$D$4:$D$32="חודשי משנה 4",הנחות!$B$20,1)))</f>
        <v>183600</v>
      </c>
      <c r="C18" s="18" t="n">
        <f aca="false">SUMPRODUCT(('כתב כמויות'!$C$4:$C$32="Fortinet SaaS")*'כתב כמויות'!$K$4:$K$32*IF('כתב כמויות'!$D$4:$D$32="חודשי",הנחות!$B$19,IF('כתב כמויות'!$D$4:$D$32="חודשי משנה 4",הנחות!$B$20,1)))</f>
        <v>140400</v>
      </c>
      <c r="D18" s="18" t="n">
        <f aca="false">B18-C18</f>
        <v>43200</v>
      </c>
      <c r="E18" s="19" t="n">
        <f aca="false">IF(B18&gt;0,D18/B18,0)</f>
        <v>0.235294117647059</v>
      </c>
    </row>
    <row r="19" customFormat="false" ht="15" hidden="false" customHeight="false" outlineLevel="0" collapsed="false">
      <c r="A19" s="12" t="s">
        <v>91</v>
      </c>
      <c r="B19" s="18" t="n">
        <f aca="false">SUMPRODUCT(('כתב כמויות'!$C$4:$C$32="חומרה")*'כתב כמויות'!$J$4:$J$32*IF('כתב כמויות'!$D$4:$D$32="חודשי",הנחות!$B$19,IF('כתב כמויות'!$D$4:$D$32="חודשי משנה 4",הנחות!$B$20,1)))</f>
        <v>246500</v>
      </c>
      <c r="C19" s="18" t="n">
        <f aca="false">SUMPRODUCT(('כתב כמויות'!$C$4:$C$32="חומרה")*'כתב כמויות'!$K$4:$K$32*IF('כתב כמויות'!$D$4:$D$32="חודשי",הנחות!$B$19,IF('כתב כמויות'!$D$4:$D$32="חודשי משנה 4",הנחות!$B$20,1)))</f>
        <v>223000</v>
      </c>
      <c r="D19" s="18" t="n">
        <f aca="false">B19-C19</f>
        <v>23500</v>
      </c>
      <c r="E19" s="19" t="n">
        <f aca="false">IF(B19&gt;0,D19/B19,0)</f>
        <v>0.0953346855983773</v>
      </c>
    </row>
    <row r="20" customFormat="false" ht="15" hidden="false" customHeight="false" outlineLevel="0" collapsed="false">
      <c r="A20" s="12" t="s">
        <v>62</v>
      </c>
      <c r="B20" s="18" t="n">
        <f aca="false">SUMPRODUCT(('כתב כמויות'!$C$4:$C$32="שעות עבודה")*'כתב כמויות'!$J$4:$J$32*IF('כתב כמויות'!$D$4:$D$32="חודשי",הנחות!$B$19,IF('כתב כמויות'!$D$4:$D$32="חודשי משנה 4",הנחות!$B$20,1)))</f>
        <v>61700</v>
      </c>
      <c r="C20" s="18" t="n">
        <f aca="false">SUMPRODUCT(('כתב כמויות'!$C$4:$C$32="שעות עבודה")*'כתב כמויות'!$K$4:$K$32*IF('כתב כמויות'!$D$4:$D$32="חודשי",הנחות!$B$19,IF('כתב כמויות'!$D$4:$D$32="חודשי משנה 4",הנחות!$B$20,1)))</f>
        <v>44000</v>
      </c>
      <c r="D20" s="18" t="n">
        <f aca="false">B20-C20</f>
        <v>17700</v>
      </c>
      <c r="E20" s="19" t="n">
        <f aca="false">IF(B20&gt;0,D20/B20,0)</f>
        <v>0.286871961102107</v>
      </c>
    </row>
    <row r="21" customFormat="false" ht="15" hidden="false" customHeight="false" outlineLevel="0" collapsed="false">
      <c r="A21" s="12" t="s">
        <v>69</v>
      </c>
      <c r="B21" s="18" t="n">
        <f aca="false">SUMPRODUCT(('כתב כמויות'!$C$4:$C$32="תחזוקה")*'כתב כמויות'!$J$4:$J$32*IF('כתב כמויות'!$D$4:$D$32="חודשי",הנחות!$B$19,IF('כתב כמויות'!$D$4:$D$32="חודשי משנה 4",הנחות!$B$20,1)))</f>
        <v>0</v>
      </c>
      <c r="C21" s="18" t="n">
        <f aca="false">SUMPRODUCT(('כתב כמויות'!$C$4:$C$32="תחזוקה")*'כתב כמויות'!$K$4:$K$32*IF('כתב כמויות'!$D$4:$D$32="חודשי",הנחות!$B$19,IF('כתב כמויות'!$D$4:$D$32="חודשי משנה 4",הנחות!$B$20,1)))</f>
        <v>0</v>
      </c>
      <c r="D21" s="18" t="n">
        <f aca="false">B21-C21</f>
        <v>0</v>
      </c>
      <c r="E21" s="19" t="n">
        <f aca="false">IF(B21&gt;0,D21/B21,0)</f>
        <v>0</v>
      </c>
    </row>
    <row r="22" customFormat="false" ht="15" hidden="false" customHeight="false" outlineLevel="0" collapsed="false">
      <c r="A22" s="11" t="s">
        <v>116</v>
      </c>
      <c r="B22" s="23" t="n">
        <f aca="false">SUM(B16:B21)</f>
        <v>1746820</v>
      </c>
      <c r="C22" s="23" t="n">
        <f aca="false">SUM(C16:C21)</f>
        <v>1010160</v>
      </c>
      <c r="D22" s="23" t="n">
        <f aca="false">SUM(D16:D21)</f>
        <v>736660</v>
      </c>
      <c r="E22" s="24" t="n">
        <f aca="false">IF(B22&gt;0,D22/B22,0)</f>
        <v>0.421714887624369</v>
      </c>
    </row>
  </sheetData>
  <mergeCells count="1">
    <mergeCell ref="A12:E12"/>
  </mergeCells>
  <conditionalFormatting sqref="E16:E2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4"/>
  </cols>
  <sheetData>
    <row r="1" customFormat="false" ht="17.15" hidden="false" customHeight="false" outlineLevel="0" collapsed="false">
      <c r="A1" s="5" t="s">
        <v>117</v>
      </c>
    </row>
    <row r="2" customFormat="false" ht="15" hidden="false" customHeight="false" outlineLevel="0" collapsed="false">
      <c r="A2" s="11" t="s">
        <v>118</v>
      </c>
      <c r="B2" s="11"/>
      <c r="C2" s="23" t="n">
        <f aca="false">SUM(E8:E68)</f>
        <v>736660</v>
      </c>
    </row>
    <row r="3" customFormat="false" ht="15" hidden="false" customHeight="false" outlineLevel="0" collapsed="false">
      <c r="A3" s="11" t="s">
        <v>119</v>
      </c>
      <c r="B3" s="11"/>
      <c r="C3" s="23" t="n">
        <f aca="false">G8+NPV(הנחות!B14/12,G9:G68)</f>
        <v>630583.520601049</v>
      </c>
    </row>
    <row r="4" customFormat="false" ht="15" hidden="false" customHeight="false" outlineLevel="0" collapsed="false">
      <c r="A4" s="11" t="s">
        <v>120</v>
      </c>
      <c r="B4" s="11"/>
      <c r="C4" s="23" t="n">
        <f aca="false">MIN(H8:H68)</f>
        <v>-309420</v>
      </c>
    </row>
    <row r="6" customFormat="false" ht="14.15" hidden="false" customHeight="false" outlineLevel="0" collapsed="false">
      <c r="A6" s="12" t="s">
        <v>121</v>
      </c>
      <c r="B6" s="12"/>
      <c r="C6" s="12"/>
      <c r="D6" s="12"/>
      <c r="E6" s="12"/>
      <c r="F6" s="12"/>
      <c r="G6" s="12"/>
      <c r="H6" s="12"/>
    </row>
    <row r="7" customFormat="false" ht="48" hidden="false" customHeight="true" outlineLevel="0" collapsed="false">
      <c r="A7" s="6" t="s">
        <v>122</v>
      </c>
      <c r="B7" s="6" t="s">
        <v>123</v>
      </c>
      <c r="C7" s="6" t="s">
        <v>124</v>
      </c>
      <c r="D7" s="6" t="s">
        <v>125</v>
      </c>
      <c r="E7" s="6" t="s">
        <v>126</v>
      </c>
      <c r="F7" s="6" t="s">
        <v>127</v>
      </c>
      <c r="G7" s="6" t="s">
        <v>128</v>
      </c>
      <c r="H7" s="6" t="s">
        <v>129</v>
      </c>
    </row>
    <row r="8" customFormat="false" ht="15" hidden="false" customHeight="false" outlineLevel="0" collapsed="false">
      <c r="A8" s="13" t="n">
        <v>0</v>
      </c>
      <c r="B8" s="18" t="n">
        <f aca="false">IF(AND(A8&gt;=הנחות!$B$15,A8&lt;הנחות!$B$15+הנחות!$B$19),'סיכום והשוואה'!$C$4,0)+IF(AND(A8&gt;=הנחות!$B$15+36,A8&lt;הנחות!$B$15+הנחות!$B$19),'סיכום והשוואה'!$C$5,0)+IF(A8=הנחות!$B$15,'סיכום והשוואה'!$C$6,0)</f>
        <v>0</v>
      </c>
      <c r="C8" s="18" t="n">
        <f aca="false">IF(AND(A8&gt;=הנחות!$B$15,A8&lt;הנחות!$B$15+הנחות!$B$19),'סיכום והשוואה'!$D$4,0)+IF(AND(A8&gt;=הנחות!$B$15+36,A8&lt;הנחות!$B$15+הנחות!$B$19),'סיכום והשוואה'!$D$5,0)</f>
        <v>0</v>
      </c>
      <c r="D8" s="18" t="n">
        <f aca="false">IF(A8=1,'סיכום והשוואה'!$D$6,0)</f>
        <v>0</v>
      </c>
      <c r="E8" s="18" t="n">
        <f aca="false">B8-C8-D8</f>
        <v>0</v>
      </c>
      <c r="F8" s="18" t="n">
        <f aca="false">IF(A8-הנחות!$B$13&gt;=0,INDEX($B$8:$B$68,A8-הנחות!$B$13+1),0)</f>
        <v>0</v>
      </c>
      <c r="G8" s="18" t="n">
        <f aca="false">F8-C8-D8</f>
        <v>0</v>
      </c>
      <c r="H8" s="18" t="n">
        <f aca="false">G8</f>
        <v>0</v>
      </c>
    </row>
    <row r="9" customFormat="false" ht="15" hidden="false" customHeight="false" outlineLevel="0" collapsed="false">
      <c r="A9" s="13" t="n">
        <v>1</v>
      </c>
      <c r="B9" s="18" t="n">
        <f aca="false">IF(AND(A9&gt;=הנחות!$B$15,A9&lt;הנחות!$B$15+הנחות!$B$19),'סיכום והשוואה'!$C$4,0)+IF(AND(A9&gt;=הנחות!$B$15+36,A9&lt;הנחות!$B$15+הנחות!$B$19),'סיכום והשוואה'!$C$5,0)+IF(A9=הנחות!$B$15,'סיכום והשוואה'!$C$6,0)</f>
        <v>0</v>
      </c>
      <c r="C9" s="18" t="n">
        <f aca="false">IF(AND(A9&gt;=הנחות!$B$15,A9&lt;הנחות!$B$15+הנחות!$B$19),'סיכום והשוואה'!$D$4,0)+IF(AND(A9&gt;=הנחות!$B$15+36,A9&lt;הנחות!$B$15+הנחות!$B$19),'סיכום והשוואה'!$D$5,0)</f>
        <v>0</v>
      </c>
      <c r="D9" s="18" t="n">
        <f aca="false">IF(A9=1,'סיכום והשוואה'!$D$6,0)</f>
        <v>268200</v>
      </c>
      <c r="E9" s="18" t="n">
        <f aca="false">B9-C9-D9</f>
        <v>-268200</v>
      </c>
      <c r="F9" s="18" t="n">
        <f aca="false">IF(A9-הנחות!$B$13&gt;=0,INDEX($B$8:$B$68,A9-הנחות!$B$13+1),0)</f>
        <v>0</v>
      </c>
      <c r="G9" s="18" t="n">
        <f aca="false">F9-C9-D9</f>
        <v>-268200</v>
      </c>
      <c r="H9" s="18" t="n">
        <f aca="false">H8+G9</f>
        <v>-268200</v>
      </c>
    </row>
    <row r="10" customFormat="false" ht="15" hidden="false" customHeight="false" outlineLevel="0" collapsed="false">
      <c r="A10" s="13" t="n">
        <v>2</v>
      </c>
      <c r="B10" s="18" t="n">
        <f aca="false">IF(AND(A10&gt;=הנחות!$B$15,A10&lt;הנחות!$B$15+הנחות!$B$19),'סיכום והשוואה'!$C$4,0)+IF(AND(A10&gt;=הנחות!$B$15+36,A10&lt;הנחות!$B$15+הנחות!$B$19),'סיכום והשוואה'!$C$5,0)+IF(A10=הנחות!$B$15,'סיכום והשוואה'!$C$6,0)</f>
        <v>349620</v>
      </c>
      <c r="C10" s="18" t="n">
        <f aca="false">IF(AND(A10&gt;=הנחות!$B$15,A10&lt;הנחות!$B$15+הנחות!$B$19),'סיכום והשוואה'!$D$4,0)+IF(AND(A10&gt;=הנחות!$B$15+36,A10&lt;הנחות!$B$15+הנחות!$B$19),'סיכום והשוואה'!$D$5,0)</f>
        <v>20610</v>
      </c>
      <c r="D10" s="18" t="n">
        <f aca="false">IF(A10=1,'סיכום והשוואה'!$D$6,0)</f>
        <v>0</v>
      </c>
      <c r="E10" s="18" t="n">
        <f aca="false">B10-C10-D10</f>
        <v>329010</v>
      </c>
      <c r="F10" s="18" t="n">
        <f aca="false">IF(A10-הנחות!$B$13&gt;=0,INDEX($B$8:$B$68,A10-הנחות!$B$13+1),0)</f>
        <v>0</v>
      </c>
      <c r="G10" s="18" t="n">
        <f aca="false">F10-C10-D10</f>
        <v>-20610</v>
      </c>
      <c r="H10" s="18" t="n">
        <f aca="false">H9+G10</f>
        <v>-288810</v>
      </c>
    </row>
    <row r="11" customFormat="false" ht="15" hidden="false" customHeight="false" outlineLevel="0" collapsed="false">
      <c r="A11" s="13" t="n">
        <v>3</v>
      </c>
      <c r="B11" s="18" t="n">
        <f aca="false">IF(AND(A11&gt;=הנחות!$B$15,A11&lt;הנחות!$B$15+הנחות!$B$19),'סיכום והשוואה'!$C$4,0)+IF(AND(A11&gt;=הנחות!$B$15+36,A11&lt;הנחות!$B$15+הנחות!$B$19),'סיכום והשוואה'!$C$5,0)+IF(A11=הנחות!$B$15,'סיכום והשוואה'!$C$6,0)</f>
        <v>39920</v>
      </c>
      <c r="C11" s="18" t="n">
        <f aca="false">IF(AND(A11&gt;=הנחות!$B$15,A11&lt;הנחות!$B$15+הנחות!$B$19),'סיכום והשוואה'!$D$4,0)+IF(AND(A11&gt;=הנחות!$B$15+36,A11&lt;הנחות!$B$15+הנחות!$B$19),'סיכום והשוואה'!$D$5,0)</f>
        <v>20610</v>
      </c>
      <c r="D11" s="18" t="n">
        <f aca="false">IF(A11=1,'סיכום והשוואה'!$D$6,0)</f>
        <v>0</v>
      </c>
      <c r="E11" s="18" t="n">
        <f aca="false">B11-C11-D11</f>
        <v>19310</v>
      </c>
      <c r="F11" s="18" t="n">
        <f aca="false">IF(A11-הנחות!$B$13&gt;=0,INDEX($B$8:$B$68,A11-הנחות!$B$13+1),0)</f>
        <v>0</v>
      </c>
      <c r="G11" s="18" t="n">
        <f aca="false">F11-C11-D11</f>
        <v>-20610</v>
      </c>
      <c r="H11" s="18" t="n">
        <f aca="false">H10+G11</f>
        <v>-309420</v>
      </c>
    </row>
    <row r="12" customFormat="false" ht="15" hidden="false" customHeight="false" outlineLevel="0" collapsed="false">
      <c r="A12" s="13" t="n">
        <v>4</v>
      </c>
      <c r="B12" s="18" t="n">
        <f aca="false">IF(AND(A12&gt;=הנחות!$B$15,A12&lt;הנחות!$B$15+הנחות!$B$19),'סיכום והשוואה'!$C$4,0)+IF(AND(A12&gt;=הנחות!$B$15+36,A12&lt;הנחות!$B$15+הנחות!$B$19),'סיכום והשוואה'!$C$5,0)+IF(A12=הנחות!$B$15,'סיכום והשוואה'!$C$6,0)</f>
        <v>39920</v>
      </c>
      <c r="C12" s="18" t="n">
        <f aca="false">IF(AND(A12&gt;=הנחות!$B$15,A12&lt;הנחות!$B$15+הנחות!$B$19),'סיכום והשוואה'!$D$4,0)+IF(AND(A12&gt;=הנחות!$B$15+36,A12&lt;הנחות!$B$15+הנחות!$B$19),'סיכום והשוואה'!$D$5,0)</f>
        <v>20610</v>
      </c>
      <c r="D12" s="18" t="n">
        <f aca="false">IF(A12=1,'סיכום והשוואה'!$D$6,0)</f>
        <v>0</v>
      </c>
      <c r="E12" s="18" t="n">
        <f aca="false">B12-C12-D12</f>
        <v>19310</v>
      </c>
      <c r="F12" s="18" t="n">
        <f aca="false">IF(A12-הנחות!$B$13&gt;=0,INDEX($B$8:$B$68,A12-הנחות!$B$13+1),0)</f>
        <v>349620</v>
      </c>
      <c r="G12" s="18" t="n">
        <f aca="false">F12-C12-D12</f>
        <v>329010</v>
      </c>
      <c r="H12" s="18" t="n">
        <f aca="false">H11+G12</f>
        <v>19590</v>
      </c>
    </row>
    <row r="13" customFormat="false" ht="15" hidden="false" customHeight="false" outlineLevel="0" collapsed="false">
      <c r="A13" s="13" t="n">
        <v>5</v>
      </c>
      <c r="B13" s="18" t="n">
        <f aca="false">IF(AND(A13&gt;=הנחות!$B$15,A13&lt;הנחות!$B$15+הנחות!$B$19),'סיכום והשוואה'!$C$4,0)+IF(AND(A13&gt;=הנחות!$B$15+36,A13&lt;הנחות!$B$15+הנחות!$B$19),'סיכום והשוואה'!$C$5,0)+IF(A13=הנחות!$B$15,'סיכום והשוואה'!$C$6,0)</f>
        <v>39920</v>
      </c>
      <c r="C13" s="18" t="n">
        <f aca="false">IF(AND(A13&gt;=הנחות!$B$15,A13&lt;הנחות!$B$15+הנחות!$B$19),'סיכום והשוואה'!$D$4,0)+IF(AND(A13&gt;=הנחות!$B$15+36,A13&lt;הנחות!$B$15+הנחות!$B$19),'סיכום והשוואה'!$D$5,0)</f>
        <v>20610</v>
      </c>
      <c r="D13" s="18" t="n">
        <f aca="false">IF(A13=1,'סיכום והשוואה'!$D$6,0)</f>
        <v>0</v>
      </c>
      <c r="E13" s="18" t="n">
        <f aca="false">B13-C13-D13</f>
        <v>19310</v>
      </c>
      <c r="F13" s="18" t="n">
        <f aca="false">IF(A13-הנחות!$B$13&gt;=0,INDEX($B$8:$B$68,A13-הנחות!$B$13+1),0)</f>
        <v>39920</v>
      </c>
      <c r="G13" s="18" t="n">
        <f aca="false">F13-C13-D13</f>
        <v>19310</v>
      </c>
      <c r="H13" s="18" t="n">
        <f aca="false">H12+G13</f>
        <v>38900</v>
      </c>
    </row>
    <row r="14" customFormat="false" ht="15" hidden="false" customHeight="false" outlineLevel="0" collapsed="false">
      <c r="A14" s="13" t="n">
        <v>6</v>
      </c>
      <c r="B14" s="18" t="n">
        <f aca="false">IF(AND(A14&gt;=הנחות!$B$15,A14&lt;הנחות!$B$15+הנחות!$B$19),'סיכום והשוואה'!$C$4,0)+IF(AND(A14&gt;=הנחות!$B$15+36,A14&lt;הנחות!$B$15+הנחות!$B$19),'סיכום והשוואה'!$C$5,0)+IF(A14=הנחות!$B$15,'סיכום והשוואה'!$C$6,0)</f>
        <v>39920</v>
      </c>
      <c r="C14" s="18" t="n">
        <f aca="false">IF(AND(A14&gt;=הנחות!$B$15,A14&lt;הנחות!$B$15+הנחות!$B$19),'סיכום והשוואה'!$D$4,0)+IF(AND(A14&gt;=הנחות!$B$15+36,A14&lt;הנחות!$B$15+הנחות!$B$19),'סיכום והשוואה'!$D$5,0)</f>
        <v>20610</v>
      </c>
      <c r="D14" s="18" t="n">
        <f aca="false">IF(A14=1,'סיכום והשוואה'!$D$6,0)</f>
        <v>0</v>
      </c>
      <c r="E14" s="18" t="n">
        <f aca="false">B14-C14-D14</f>
        <v>19310</v>
      </c>
      <c r="F14" s="18" t="n">
        <f aca="false">IF(A14-הנחות!$B$13&gt;=0,INDEX($B$8:$B$68,A14-הנחות!$B$13+1),0)</f>
        <v>39920</v>
      </c>
      <c r="G14" s="18" t="n">
        <f aca="false">F14-C14-D14</f>
        <v>19310</v>
      </c>
      <c r="H14" s="18" t="n">
        <f aca="false">H13+G14</f>
        <v>58210</v>
      </c>
    </row>
    <row r="15" customFormat="false" ht="15" hidden="false" customHeight="false" outlineLevel="0" collapsed="false">
      <c r="A15" s="13" t="n">
        <v>7</v>
      </c>
      <c r="B15" s="18" t="n">
        <f aca="false">IF(AND(A15&gt;=הנחות!$B$15,A15&lt;הנחות!$B$15+הנחות!$B$19),'סיכום והשוואה'!$C$4,0)+IF(AND(A15&gt;=הנחות!$B$15+36,A15&lt;הנחות!$B$15+הנחות!$B$19),'סיכום והשוואה'!$C$5,0)+IF(A15=הנחות!$B$15,'סיכום והשוואה'!$C$6,0)</f>
        <v>39920</v>
      </c>
      <c r="C15" s="18" t="n">
        <f aca="false">IF(AND(A15&gt;=הנחות!$B$15,A15&lt;הנחות!$B$15+הנחות!$B$19),'סיכום והשוואה'!$D$4,0)+IF(AND(A15&gt;=הנחות!$B$15+36,A15&lt;הנחות!$B$15+הנחות!$B$19),'סיכום והשוואה'!$D$5,0)</f>
        <v>20610</v>
      </c>
      <c r="D15" s="18" t="n">
        <f aca="false">IF(A15=1,'סיכום והשוואה'!$D$6,0)</f>
        <v>0</v>
      </c>
      <c r="E15" s="18" t="n">
        <f aca="false">B15-C15-D15</f>
        <v>19310</v>
      </c>
      <c r="F15" s="18" t="n">
        <f aca="false">IF(A15-הנחות!$B$13&gt;=0,INDEX($B$8:$B$68,A15-הנחות!$B$13+1),0)</f>
        <v>39920</v>
      </c>
      <c r="G15" s="18" t="n">
        <f aca="false">F15-C15-D15</f>
        <v>19310</v>
      </c>
      <c r="H15" s="18" t="n">
        <f aca="false">H14+G15</f>
        <v>77520</v>
      </c>
    </row>
    <row r="16" customFormat="false" ht="15" hidden="false" customHeight="false" outlineLevel="0" collapsed="false">
      <c r="A16" s="13" t="n">
        <v>8</v>
      </c>
      <c r="B16" s="18" t="n">
        <f aca="false">IF(AND(A16&gt;=הנחות!$B$15,A16&lt;הנחות!$B$15+הנחות!$B$19),'סיכום והשוואה'!$C$4,0)+IF(AND(A16&gt;=הנחות!$B$15+36,A16&lt;הנחות!$B$15+הנחות!$B$19),'סיכום והשוואה'!$C$5,0)+IF(A16=הנחות!$B$15,'סיכום והשוואה'!$C$6,0)</f>
        <v>39920</v>
      </c>
      <c r="C16" s="18" t="n">
        <f aca="false">IF(AND(A16&gt;=הנחות!$B$15,A16&lt;הנחות!$B$15+הנחות!$B$19),'סיכום והשוואה'!$D$4,0)+IF(AND(A16&gt;=הנחות!$B$15+36,A16&lt;הנחות!$B$15+הנחות!$B$19),'סיכום והשוואה'!$D$5,0)</f>
        <v>20610</v>
      </c>
      <c r="D16" s="18" t="n">
        <f aca="false">IF(A16=1,'סיכום והשוואה'!$D$6,0)</f>
        <v>0</v>
      </c>
      <c r="E16" s="18" t="n">
        <f aca="false">B16-C16-D16</f>
        <v>19310</v>
      </c>
      <c r="F16" s="18" t="n">
        <f aca="false">IF(A16-הנחות!$B$13&gt;=0,INDEX($B$8:$B$68,A16-הנחות!$B$13+1),0)</f>
        <v>39920</v>
      </c>
      <c r="G16" s="18" t="n">
        <f aca="false">F16-C16-D16</f>
        <v>19310</v>
      </c>
      <c r="H16" s="18" t="n">
        <f aca="false">H15+G16</f>
        <v>96830</v>
      </c>
    </row>
    <row r="17" customFormat="false" ht="15" hidden="false" customHeight="false" outlineLevel="0" collapsed="false">
      <c r="A17" s="13" t="n">
        <v>9</v>
      </c>
      <c r="B17" s="18" t="n">
        <f aca="false">IF(AND(A17&gt;=הנחות!$B$15,A17&lt;הנחות!$B$15+הנחות!$B$19),'סיכום והשוואה'!$C$4,0)+IF(AND(A17&gt;=הנחות!$B$15+36,A17&lt;הנחות!$B$15+הנחות!$B$19),'סיכום והשוואה'!$C$5,0)+IF(A17=הנחות!$B$15,'סיכום והשוואה'!$C$6,0)</f>
        <v>39920</v>
      </c>
      <c r="C17" s="18" t="n">
        <f aca="false">IF(AND(A17&gt;=הנחות!$B$15,A17&lt;הנחות!$B$15+הנחות!$B$19),'סיכום והשוואה'!$D$4,0)+IF(AND(A17&gt;=הנחות!$B$15+36,A17&lt;הנחות!$B$15+הנחות!$B$19),'סיכום והשוואה'!$D$5,0)</f>
        <v>20610</v>
      </c>
      <c r="D17" s="18" t="n">
        <f aca="false">IF(A17=1,'סיכום והשוואה'!$D$6,0)</f>
        <v>0</v>
      </c>
      <c r="E17" s="18" t="n">
        <f aca="false">B17-C17-D17</f>
        <v>19310</v>
      </c>
      <c r="F17" s="18" t="n">
        <f aca="false">IF(A17-הנחות!$B$13&gt;=0,INDEX($B$8:$B$68,A17-הנחות!$B$13+1),0)</f>
        <v>39920</v>
      </c>
      <c r="G17" s="18" t="n">
        <f aca="false">F17-C17-D17</f>
        <v>19310</v>
      </c>
      <c r="H17" s="18" t="n">
        <f aca="false">H16+G17</f>
        <v>116140</v>
      </c>
    </row>
    <row r="18" customFormat="false" ht="15" hidden="false" customHeight="false" outlineLevel="0" collapsed="false">
      <c r="A18" s="13" t="n">
        <v>10</v>
      </c>
      <c r="B18" s="18" t="n">
        <f aca="false">IF(AND(A18&gt;=הנחות!$B$15,A18&lt;הנחות!$B$15+הנחות!$B$19),'סיכום והשוואה'!$C$4,0)+IF(AND(A18&gt;=הנחות!$B$15+36,A18&lt;הנחות!$B$15+הנחות!$B$19),'סיכום והשוואה'!$C$5,0)+IF(A18=הנחות!$B$15,'סיכום והשוואה'!$C$6,0)</f>
        <v>39920</v>
      </c>
      <c r="C18" s="18" t="n">
        <f aca="false">IF(AND(A18&gt;=הנחות!$B$15,A18&lt;הנחות!$B$15+הנחות!$B$19),'סיכום והשוואה'!$D$4,0)+IF(AND(A18&gt;=הנחות!$B$15+36,A18&lt;הנחות!$B$15+הנחות!$B$19),'סיכום והשוואה'!$D$5,0)</f>
        <v>20610</v>
      </c>
      <c r="D18" s="18" t="n">
        <f aca="false">IF(A18=1,'סיכום והשוואה'!$D$6,0)</f>
        <v>0</v>
      </c>
      <c r="E18" s="18" t="n">
        <f aca="false">B18-C18-D18</f>
        <v>19310</v>
      </c>
      <c r="F18" s="18" t="n">
        <f aca="false">IF(A18-הנחות!$B$13&gt;=0,INDEX($B$8:$B$68,A18-הנחות!$B$13+1),0)</f>
        <v>39920</v>
      </c>
      <c r="G18" s="18" t="n">
        <f aca="false">F18-C18-D18</f>
        <v>19310</v>
      </c>
      <c r="H18" s="18" t="n">
        <f aca="false">H17+G18</f>
        <v>135450</v>
      </c>
    </row>
    <row r="19" customFormat="false" ht="15" hidden="false" customHeight="false" outlineLevel="0" collapsed="false">
      <c r="A19" s="13" t="n">
        <v>11</v>
      </c>
      <c r="B19" s="18" t="n">
        <f aca="false">IF(AND(A19&gt;=הנחות!$B$15,A19&lt;הנחות!$B$15+הנחות!$B$19),'סיכום והשוואה'!$C$4,0)+IF(AND(A19&gt;=הנחות!$B$15+36,A19&lt;הנחות!$B$15+הנחות!$B$19),'סיכום והשוואה'!$C$5,0)+IF(A19=הנחות!$B$15,'סיכום והשוואה'!$C$6,0)</f>
        <v>39920</v>
      </c>
      <c r="C19" s="18" t="n">
        <f aca="false">IF(AND(A19&gt;=הנחות!$B$15,A19&lt;הנחות!$B$15+הנחות!$B$19),'סיכום והשוואה'!$D$4,0)+IF(AND(A19&gt;=הנחות!$B$15+36,A19&lt;הנחות!$B$15+הנחות!$B$19),'סיכום והשוואה'!$D$5,0)</f>
        <v>20610</v>
      </c>
      <c r="D19" s="18" t="n">
        <f aca="false">IF(A19=1,'סיכום והשוואה'!$D$6,0)</f>
        <v>0</v>
      </c>
      <c r="E19" s="18" t="n">
        <f aca="false">B19-C19-D19</f>
        <v>19310</v>
      </c>
      <c r="F19" s="18" t="n">
        <f aca="false">IF(A19-הנחות!$B$13&gt;=0,INDEX($B$8:$B$68,A19-הנחות!$B$13+1),0)</f>
        <v>39920</v>
      </c>
      <c r="G19" s="18" t="n">
        <f aca="false">F19-C19-D19</f>
        <v>19310</v>
      </c>
      <c r="H19" s="18" t="n">
        <f aca="false">H18+G19</f>
        <v>154760</v>
      </c>
    </row>
    <row r="20" customFormat="false" ht="15" hidden="false" customHeight="false" outlineLevel="0" collapsed="false">
      <c r="A20" s="13" t="n">
        <v>12</v>
      </c>
      <c r="B20" s="18" t="n">
        <f aca="false">IF(AND(A20&gt;=הנחות!$B$15,A20&lt;הנחות!$B$15+הנחות!$B$19),'סיכום והשוואה'!$C$4,0)+IF(AND(A20&gt;=הנחות!$B$15+36,A20&lt;הנחות!$B$15+הנחות!$B$19),'סיכום והשוואה'!$C$5,0)+IF(A20=הנחות!$B$15,'סיכום והשוואה'!$C$6,0)</f>
        <v>39920</v>
      </c>
      <c r="C20" s="18" t="n">
        <f aca="false">IF(AND(A20&gt;=הנחות!$B$15,A20&lt;הנחות!$B$15+הנחות!$B$19),'סיכום והשוואה'!$D$4,0)+IF(AND(A20&gt;=הנחות!$B$15+36,A20&lt;הנחות!$B$15+הנחות!$B$19),'סיכום והשוואה'!$D$5,0)</f>
        <v>20610</v>
      </c>
      <c r="D20" s="18" t="n">
        <f aca="false">IF(A20=1,'סיכום והשוואה'!$D$6,0)</f>
        <v>0</v>
      </c>
      <c r="E20" s="18" t="n">
        <f aca="false">B20-C20-D20</f>
        <v>19310</v>
      </c>
      <c r="F20" s="18" t="n">
        <f aca="false">IF(A20-הנחות!$B$13&gt;=0,INDEX($B$8:$B$68,A20-הנחות!$B$13+1),0)</f>
        <v>39920</v>
      </c>
      <c r="G20" s="18" t="n">
        <f aca="false">F20-C20-D20</f>
        <v>19310</v>
      </c>
      <c r="H20" s="18" t="n">
        <f aca="false">H19+G20</f>
        <v>174070</v>
      </c>
    </row>
    <row r="21" customFormat="false" ht="15" hidden="false" customHeight="false" outlineLevel="0" collapsed="false">
      <c r="A21" s="13" t="n">
        <v>13</v>
      </c>
      <c r="B21" s="18" t="n">
        <f aca="false">IF(AND(A21&gt;=הנחות!$B$15,A21&lt;הנחות!$B$15+הנחות!$B$19),'סיכום והשוואה'!$C$4,0)+IF(AND(A21&gt;=הנחות!$B$15+36,A21&lt;הנחות!$B$15+הנחות!$B$19),'סיכום והשוואה'!$C$5,0)+IF(A21=הנחות!$B$15,'סיכום והשוואה'!$C$6,0)</f>
        <v>39920</v>
      </c>
      <c r="C21" s="18" t="n">
        <f aca="false">IF(AND(A21&gt;=הנחות!$B$15,A21&lt;הנחות!$B$15+הנחות!$B$19),'סיכום והשוואה'!$D$4,0)+IF(AND(A21&gt;=הנחות!$B$15+36,A21&lt;הנחות!$B$15+הנחות!$B$19),'סיכום והשוואה'!$D$5,0)</f>
        <v>20610</v>
      </c>
      <c r="D21" s="18" t="n">
        <f aca="false">IF(A21=1,'סיכום והשוואה'!$D$6,0)</f>
        <v>0</v>
      </c>
      <c r="E21" s="18" t="n">
        <f aca="false">B21-C21-D21</f>
        <v>19310</v>
      </c>
      <c r="F21" s="18" t="n">
        <f aca="false">IF(A21-הנחות!$B$13&gt;=0,INDEX($B$8:$B$68,A21-הנחות!$B$13+1),0)</f>
        <v>39920</v>
      </c>
      <c r="G21" s="18" t="n">
        <f aca="false">F21-C21-D21</f>
        <v>19310</v>
      </c>
      <c r="H21" s="18" t="n">
        <f aca="false">H20+G21</f>
        <v>193380</v>
      </c>
    </row>
    <row r="22" customFormat="false" ht="15" hidden="false" customHeight="false" outlineLevel="0" collapsed="false">
      <c r="A22" s="13" t="n">
        <v>14</v>
      </c>
      <c r="B22" s="18" t="n">
        <f aca="false">IF(AND(A22&gt;=הנחות!$B$15,A22&lt;הנחות!$B$15+הנחות!$B$19),'סיכום והשוואה'!$C$4,0)+IF(AND(A22&gt;=הנחות!$B$15+36,A22&lt;הנחות!$B$15+הנחות!$B$19),'סיכום והשוואה'!$C$5,0)+IF(A22=הנחות!$B$15,'סיכום והשוואה'!$C$6,0)</f>
        <v>39920</v>
      </c>
      <c r="C22" s="18" t="n">
        <f aca="false">IF(AND(A22&gt;=הנחות!$B$15,A22&lt;הנחות!$B$15+הנחות!$B$19),'סיכום והשוואה'!$D$4,0)+IF(AND(A22&gt;=הנחות!$B$15+36,A22&lt;הנחות!$B$15+הנחות!$B$19),'סיכום והשוואה'!$D$5,0)</f>
        <v>20610</v>
      </c>
      <c r="D22" s="18" t="n">
        <f aca="false">IF(A22=1,'סיכום והשוואה'!$D$6,0)</f>
        <v>0</v>
      </c>
      <c r="E22" s="18" t="n">
        <f aca="false">B22-C22-D22</f>
        <v>19310</v>
      </c>
      <c r="F22" s="18" t="n">
        <f aca="false">IF(A22-הנחות!$B$13&gt;=0,INDEX($B$8:$B$68,A22-הנחות!$B$13+1),0)</f>
        <v>39920</v>
      </c>
      <c r="G22" s="18" t="n">
        <f aca="false">F22-C22-D22</f>
        <v>19310</v>
      </c>
      <c r="H22" s="18" t="n">
        <f aca="false">H21+G22</f>
        <v>212690</v>
      </c>
    </row>
    <row r="23" customFormat="false" ht="15" hidden="false" customHeight="false" outlineLevel="0" collapsed="false">
      <c r="A23" s="13" t="n">
        <v>15</v>
      </c>
      <c r="B23" s="18" t="n">
        <f aca="false">IF(AND(A23&gt;=הנחות!$B$15,A23&lt;הנחות!$B$15+הנחות!$B$19),'סיכום והשוואה'!$C$4,0)+IF(AND(A23&gt;=הנחות!$B$15+36,A23&lt;הנחות!$B$15+הנחות!$B$19),'סיכום והשוואה'!$C$5,0)+IF(A23=הנחות!$B$15,'סיכום והשוואה'!$C$6,0)</f>
        <v>39920</v>
      </c>
      <c r="C23" s="18" t="n">
        <f aca="false">IF(AND(A23&gt;=הנחות!$B$15,A23&lt;הנחות!$B$15+הנחות!$B$19),'סיכום והשוואה'!$D$4,0)+IF(AND(A23&gt;=הנחות!$B$15+36,A23&lt;הנחות!$B$15+הנחות!$B$19),'סיכום והשוואה'!$D$5,0)</f>
        <v>20610</v>
      </c>
      <c r="D23" s="18" t="n">
        <f aca="false">IF(A23=1,'סיכום והשוואה'!$D$6,0)</f>
        <v>0</v>
      </c>
      <c r="E23" s="18" t="n">
        <f aca="false">B23-C23-D23</f>
        <v>19310</v>
      </c>
      <c r="F23" s="18" t="n">
        <f aca="false">IF(A23-הנחות!$B$13&gt;=0,INDEX($B$8:$B$68,A23-הנחות!$B$13+1),0)</f>
        <v>39920</v>
      </c>
      <c r="G23" s="18" t="n">
        <f aca="false">F23-C23-D23</f>
        <v>19310</v>
      </c>
      <c r="H23" s="18" t="n">
        <f aca="false">H22+G23</f>
        <v>232000</v>
      </c>
    </row>
    <row r="24" customFormat="false" ht="15" hidden="false" customHeight="false" outlineLevel="0" collapsed="false">
      <c r="A24" s="13" t="n">
        <v>16</v>
      </c>
      <c r="B24" s="18" t="n">
        <f aca="false">IF(AND(A24&gt;=הנחות!$B$15,A24&lt;הנחות!$B$15+הנחות!$B$19),'סיכום והשוואה'!$C$4,0)+IF(AND(A24&gt;=הנחות!$B$15+36,A24&lt;הנחות!$B$15+הנחות!$B$19),'סיכום והשוואה'!$C$5,0)+IF(A24=הנחות!$B$15,'סיכום והשוואה'!$C$6,0)</f>
        <v>39920</v>
      </c>
      <c r="C24" s="18" t="n">
        <f aca="false">IF(AND(A24&gt;=הנחות!$B$15,A24&lt;הנחות!$B$15+הנחות!$B$19),'סיכום והשוואה'!$D$4,0)+IF(AND(A24&gt;=הנחות!$B$15+36,A24&lt;הנחות!$B$15+הנחות!$B$19),'סיכום והשוואה'!$D$5,0)</f>
        <v>20610</v>
      </c>
      <c r="D24" s="18" t="n">
        <f aca="false">IF(A24=1,'סיכום והשוואה'!$D$6,0)</f>
        <v>0</v>
      </c>
      <c r="E24" s="18" t="n">
        <f aca="false">B24-C24-D24</f>
        <v>19310</v>
      </c>
      <c r="F24" s="18" t="n">
        <f aca="false">IF(A24-הנחות!$B$13&gt;=0,INDEX($B$8:$B$68,A24-הנחות!$B$13+1),0)</f>
        <v>39920</v>
      </c>
      <c r="G24" s="18" t="n">
        <f aca="false">F24-C24-D24</f>
        <v>19310</v>
      </c>
      <c r="H24" s="18" t="n">
        <f aca="false">H23+G24</f>
        <v>251310</v>
      </c>
    </row>
    <row r="25" customFormat="false" ht="15" hidden="false" customHeight="false" outlineLevel="0" collapsed="false">
      <c r="A25" s="13" t="n">
        <v>17</v>
      </c>
      <c r="B25" s="18" t="n">
        <f aca="false">IF(AND(A25&gt;=הנחות!$B$15,A25&lt;הנחות!$B$15+הנחות!$B$19),'סיכום והשוואה'!$C$4,0)+IF(AND(A25&gt;=הנחות!$B$15+36,A25&lt;הנחות!$B$15+הנחות!$B$19),'סיכום והשוואה'!$C$5,0)+IF(A25=הנחות!$B$15,'סיכום והשוואה'!$C$6,0)</f>
        <v>39920</v>
      </c>
      <c r="C25" s="18" t="n">
        <f aca="false">IF(AND(A25&gt;=הנחות!$B$15,A25&lt;הנחות!$B$15+הנחות!$B$19),'סיכום והשוואה'!$D$4,0)+IF(AND(A25&gt;=הנחות!$B$15+36,A25&lt;הנחות!$B$15+הנחות!$B$19),'סיכום והשוואה'!$D$5,0)</f>
        <v>20610</v>
      </c>
      <c r="D25" s="18" t="n">
        <f aca="false">IF(A25=1,'סיכום והשוואה'!$D$6,0)</f>
        <v>0</v>
      </c>
      <c r="E25" s="18" t="n">
        <f aca="false">B25-C25-D25</f>
        <v>19310</v>
      </c>
      <c r="F25" s="18" t="n">
        <f aca="false">IF(A25-הנחות!$B$13&gt;=0,INDEX($B$8:$B$68,A25-הנחות!$B$13+1),0)</f>
        <v>39920</v>
      </c>
      <c r="G25" s="18" t="n">
        <f aca="false">F25-C25-D25</f>
        <v>19310</v>
      </c>
      <c r="H25" s="18" t="n">
        <f aca="false">H24+G25</f>
        <v>270620</v>
      </c>
    </row>
    <row r="26" customFormat="false" ht="15" hidden="false" customHeight="false" outlineLevel="0" collapsed="false">
      <c r="A26" s="13" t="n">
        <v>18</v>
      </c>
      <c r="B26" s="18" t="n">
        <f aca="false">IF(AND(A26&gt;=הנחות!$B$15,A26&lt;הנחות!$B$15+הנחות!$B$19),'סיכום והשוואה'!$C$4,0)+IF(AND(A26&gt;=הנחות!$B$15+36,A26&lt;הנחות!$B$15+הנחות!$B$19),'סיכום והשוואה'!$C$5,0)+IF(A26=הנחות!$B$15,'סיכום והשוואה'!$C$6,0)</f>
        <v>39920</v>
      </c>
      <c r="C26" s="18" t="n">
        <f aca="false">IF(AND(A26&gt;=הנחות!$B$15,A26&lt;הנחות!$B$15+הנחות!$B$19),'סיכום והשוואה'!$D$4,0)+IF(AND(A26&gt;=הנחות!$B$15+36,A26&lt;הנחות!$B$15+הנחות!$B$19),'סיכום והשוואה'!$D$5,0)</f>
        <v>20610</v>
      </c>
      <c r="D26" s="18" t="n">
        <f aca="false">IF(A26=1,'סיכום והשוואה'!$D$6,0)</f>
        <v>0</v>
      </c>
      <c r="E26" s="18" t="n">
        <f aca="false">B26-C26-D26</f>
        <v>19310</v>
      </c>
      <c r="F26" s="18" t="n">
        <f aca="false">IF(A26-הנחות!$B$13&gt;=0,INDEX($B$8:$B$68,A26-הנחות!$B$13+1),0)</f>
        <v>39920</v>
      </c>
      <c r="G26" s="18" t="n">
        <f aca="false">F26-C26-D26</f>
        <v>19310</v>
      </c>
      <c r="H26" s="18" t="n">
        <f aca="false">H25+G26</f>
        <v>289930</v>
      </c>
    </row>
    <row r="27" customFormat="false" ht="15" hidden="false" customHeight="false" outlineLevel="0" collapsed="false">
      <c r="A27" s="13" t="n">
        <v>19</v>
      </c>
      <c r="B27" s="18" t="n">
        <f aca="false">IF(AND(A27&gt;=הנחות!$B$15,A27&lt;הנחות!$B$15+הנחות!$B$19),'סיכום והשוואה'!$C$4,0)+IF(AND(A27&gt;=הנחות!$B$15+36,A27&lt;הנחות!$B$15+הנחות!$B$19),'סיכום והשוואה'!$C$5,0)+IF(A27=הנחות!$B$15,'סיכום והשוואה'!$C$6,0)</f>
        <v>39920</v>
      </c>
      <c r="C27" s="18" t="n">
        <f aca="false">IF(AND(A27&gt;=הנחות!$B$15,A27&lt;הנחות!$B$15+הנחות!$B$19),'סיכום והשוואה'!$D$4,0)+IF(AND(A27&gt;=הנחות!$B$15+36,A27&lt;הנחות!$B$15+הנחות!$B$19),'סיכום והשוואה'!$D$5,0)</f>
        <v>20610</v>
      </c>
      <c r="D27" s="18" t="n">
        <f aca="false">IF(A27=1,'סיכום והשוואה'!$D$6,0)</f>
        <v>0</v>
      </c>
      <c r="E27" s="18" t="n">
        <f aca="false">B27-C27-D27</f>
        <v>19310</v>
      </c>
      <c r="F27" s="18" t="n">
        <f aca="false">IF(A27-הנחות!$B$13&gt;=0,INDEX($B$8:$B$68,A27-הנחות!$B$13+1),0)</f>
        <v>39920</v>
      </c>
      <c r="G27" s="18" t="n">
        <f aca="false">F27-C27-D27</f>
        <v>19310</v>
      </c>
      <c r="H27" s="18" t="n">
        <f aca="false">H26+G27</f>
        <v>309240</v>
      </c>
    </row>
    <row r="28" customFormat="false" ht="15" hidden="false" customHeight="false" outlineLevel="0" collapsed="false">
      <c r="A28" s="13" t="n">
        <v>20</v>
      </c>
      <c r="B28" s="18" t="n">
        <f aca="false">IF(AND(A28&gt;=הנחות!$B$15,A28&lt;הנחות!$B$15+הנחות!$B$19),'סיכום והשוואה'!$C$4,0)+IF(AND(A28&gt;=הנחות!$B$15+36,A28&lt;הנחות!$B$15+הנחות!$B$19),'סיכום והשוואה'!$C$5,0)+IF(A28=הנחות!$B$15,'סיכום והשוואה'!$C$6,0)</f>
        <v>39920</v>
      </c>
      <c r="C28" s="18" t="n">
        <f aca="false">IF(AND(A28&gt;=הנחות!$B$15,A28&lt;הנחות!$B$15+הנחות!$B$19),'סיכום והשוואה'!$D$4,0)+IF(AND(A28&gt;=הנחות!$B$15+36,A28&lt;הנחות!$B$15+הנחות!$B$19),'סיכום והשוואה'!$D$5,0)</f>
        <v>20610</v>
      </c>
      <c r="D28" s="18" t="n">
        <f aca="false">IF(A28=1,'סיכום והשוואה'!$D$6,0)</f>
        <v>0</v>
      </c>
      <c r="E28" s="18" t="n">
        <f aca="false">B28-C28-D28</f>
        <v>19310</v>
      </c>
      <c r="F28" s="18" t="n">
        <f aca="false">IF(A28-הנחות!$B$13&gt;=0,INDEX($B$8:$B$68,A28-הנחות!$B$13+1),0)</f>
        <v>39920</v>
      </c>
      <c r="G28" s="18" t="n">
        <f aca="false">F28-C28-D28</f>
        <v>19310</v>
      </c>
      <c r="H28" s="18" t="n">
        <f aca="false">H27+G28</f>
        <v>328550</v>
      </c>
    </row>
    <row r="29" customFormat="false" ht="15" hidden="false" customHeight="false" outlineLevel="0" collapsed="false">
      <c r="A29" s="13" t="n">
        <v>21</v>
      </c>
      <c r="B29" s="18" t="n">
        <f aca="false">IF(AND(A29&gt;=הנחות!$B$15,A29&lt;הנחות!$B$15+הנחות!$B$19),'סיכום והשוואה'!$C$4,0)+IF(AND(A29&gt;=הנחות!$B$15+36,A29&lt;הנחות!$B$15+הנחות!$B$19),'סיכום והשוואה'!$C$5,0)+IF(A29=הנחות!$B$15,'סיכום והשוואה'!$C$6,0)</f>
        <v>39920</v>
      </c>
      <c r="C29" s="18" t="n">
        <f aca="false">IF(AND(A29&gt;=הנחות!$B$15,A29&lt;הנחות!$B$15+הנחות!$B$19),'סיכום והשוואה'!$D$4,0)+IF(AND(A29&gt;=הנחות!$B$15+36,A29&lt;הנחות!$B$15+הנחות!$B$19),'סיכום והשוואה'!$D$5,0)</f>
        <v>20610</v>
      </c>
      <c r="D29" s="18" t="n">
        <f aca="false">IF(A29=1,'סיכום והשוואה'!$D$6,0)</f>
        <v>0</v>
      </c>
      <c r="E29" s="18" t="n">
        <f aca="false">B29-C29-D29</f>
        <v>19310</v>
      </c>
      <c r="F29" s="18" t="n">
        <f aca="false">IF(A29-הנחות!$B$13&gt;=0,INDEX($B$8:$B$68,A29-הנחות!$B$13+1),0)</f>
        <v>39920</v>
      </c>
      <c r="G29" s="18" t="n">
        <f aca="false">F29-C29-D29</f>
        <v>19310</v>
      </c>
      <c r="H29" s="18" t="n">
        <f aca="false">H28+G29</f>
        <v>347860</v>
      </c>
    </row>
    <row r="30" customFormat="false" ht="15" hidden="false" customHeight="false" outlineLevel="0" collapsed="false">
      <c r="A30" s="13" t="n">
        <v>22</v>
      </c>
      <c r="B30" s="18" t="n">
        <f aca="false">IF(AND(A30&gt;=הנחות!$B$15,A30&lt;הנחות!$B$15+הנחות!$B$19),'סיכום והשוואה'!$C$4,0)+IF(AND(A30&gt;=הנחות!$B$15+36,A30&lt;הנחות!$B$15+הנחות!$B$19),'סיכום והשוואה'!$C$5,0)+IF(A30=הנחות!$B$15,'סיכום והשוואה'!$C$6,0)</f>
        <v>39920</v>
      </c>
      <c r="C30" s="18" t="n">
        <f aca="false">IF(AND(A30&gt;=הנחות!$B$15,A30&lt;הנחות!$B$15+הנחות!$B$19),'סיכום והשוואה'!$D$4,0)+IF(AND(A30&gt;=הנחות!$B$15+36,A30&lt;הנחות!$B$15+הנחות!$B$19),'סיכום והשוואה'!$D$5,0)</f>
        <v>20610</v>
      </c>
      <c r="D30" s="18" t="n">
        <f aca="false">IF(A30=1,'סיכום והשוואה'!$D$6,0)</f>
        <v>0</v>
      </c>
      <c r="E30" s="18" t="n">
        <f aca="false">B30-C30-D30</f>
        <v>19310</v>
      </c>
      <c r="F30" s="18" t="n">
        <f aca="false">IF(A30-הנחות!$B$13&gt;=0,INDEX($B$8:$B$68,A30-הנחות!$B$13+1),0)</f>
        <v>39920</v>
      </c>
      <c r="G30" s="18" t="n">
        <f aca="false">F30-C30-D30</f>
        <v>19310</v>
      </c>
      <c r="H30" s="18" t="n">
        <f aca="false">H29+G30</f>
        <v>367170</v>
      </c>
    </row>
    <row r="31" customFormat="false" ht="15" hidden="false" customHeight="false" outlineLevel="0" collapsed="false">
      <c r="A31" s="13" t="n">
        <v>23</v>
      </c>
      <c r="B31" s="18" t="n">
        <f aca="false">IF(AND(A31&gt;=הנחות!$B$15,A31&lt;הנחות!$B$15+הנחות!$B$19),'סיכום והשוואה'!$C$4,0)+IF(AND(A31&gt;=הנחות!$B$15+36,A31&lt;הנחות!$B$15+הנחות!$B$19),'סיכום והשוואה'!$C$5,0)+IF(A31=הנחות!$B$15,'סיכום והשוואה'!$C$6,0)</f>
        <v>39920</v>
      </c>
      <c r="C31" s="18" t="n">
        <f aca="false">IF(AND(A31&gt;=הנחות!$B$15,A31&lt;הנחות!$B$15+הנחות!$B$19),'סיכום והשוואה'!$D$4,0)+IF(AND(A31&gt;=הנחות!$B$15+36,A31&lt;הנחות!$B$15+הנחות!$B$19),'סיכום והשוואה'!$D$5,0)</f>
        <v>20610</v>
      </c>
      <c r="D31" s="18" t="n">
        <f aca="false">IF(A31=1,'סיכום והשוואה'!$D$6,0)</f>
        <v>0</v>
      </c>
      <c r="E31" s="18" t="n">
        <f aca="false">B31-C31-D31</f>
        <v>19310</v>
      </c>
      <c r="F31" s="18" t="n">
        <f aca="false">IF(A31-הנחות!$B$13&gt;=0,INDEX($B$8:$B$68,A31-הנחות!$B$13+1),0)</f>
        <v>39920</v>
      </c>
      <c r="G31" s="18" t="n">
        <f aca="false">F31-C31-D31</f>
        <v>19310</v>
      </c>
      <c r="H31" s="18" t="n">
        <f aca="false">H30+G31</f>
        <v>386480</v>
      </c>
    </row>
    <row r="32" customFormat="false" ht="15" hidden="false" customHeight="false" outlineLevel="0" collapsed="false">
      <c r="A32" s="13" t="n">
        <v>24</v>
      </c>
      <c r="B32" s="18" t="n">
        <f aca="false">IF(AND(A32&gt;=הנחות!$B$15,A32&lt;הנחות!$B$15+הנחות!$B$19),'סיכום והשוואה'!$C$4,0)+IF(AND(A32&gt;=הנחות!$B$15+36,A32&lt;הנחות!$B$15+הנחות!$B$19),'סיכום והשוואה'!$C$5,0)+IF(A32=הנחות!$B$15,'סיכום והשוואה'!$C$6,0)</f>
        <v>39920</v>
      </c>
      <c r="C32" s="18" t="n">
        <f aca="false">IF(AND(A32&gt;=הנחות!$B$15,A32&lt;הנחות!$B$15+הנחות!$B$19),'סיכום והשוואה'!$D$4,0)+IF(AND(A32&gt;=הנחות!$B$15+36,A32&lt;הנחות!$B$15+הנחות!$B$19),'סיכום והשוואה'!$D$5,0)</f>
        <v>20610</v>
      </c>
      <c r="D32" s="18" t="n">
        <f aca="false">IF(A32=1,'סיכום והשוואה'!$D$6,0)</f>
        <v>0</v>
      </c>
      <c r="E32" s="18" t="n">
        <f aca="false">B32-C32-D32</f>
        <v>19310</v>
      </c>
      <c r="F32" s="18" t="n">
        <f aca="false">IF(A32-הנחות!$B$13&gt;=0,INDEX($B$8:$B$68,A32-הנחות!$B$13+1),0)</f>
        <v>39920</v>
      </c>
      <c r="G32" s="18" t="n">
        <f aca="false">F32-C32-D32</f>
        <v>19310</v>
      </c>
      <c r="H32" s="18" t="n">
        <f aca="false">H31+G32</f>
        <v>405790</v>
      </c>
    </row>
    <row r="33" customFormat="false" ht="15" hidden="false" customHeight="false" outlineLevel="0" collapsed="false">
      <c r="A33" s="13" t="n">
        <v>25</v>
      </c>
      <c r="B33" s="18" t="n">
        <f aca="false">IF(AND(A33&gt;=הנחות!$B$15,A33&lt;הנחות!$B$15+הנחות!$B$19),'סיכום והשוואה'!$C$4,0)+IF(AND(A33&gt;=הנחות!$B$15+36,A33&lt;הנחות!$B$15+הנחות!$B$19),'סיכום והשוואה'!$C$5,0)+IF(A33=הנחות!$B$15,'סיכום והשוואה'!$C$6,0)</f>
        <v>39920</v>
      </c>
      <c r="C33" s="18" t="n">
        <f aca="false">IF(AND(A33&gt;=הנחות!$B$15,A33&lt;הנחות!$B$15+הנחות!$B$19),'סיכום והשוואה'!$D$4,0)+IF(AND(A33&gt;=הנחות!$B$15+36,A33&lt;הנחות!$B$15+הנחות!$B$19),'סיכום והשוואה'!$D$5,0)</f>
        <v>20610</v>
      </c>
      <c r="D33" s="18" t="n">
        <f aca="false">IF(A33=1,'סיכום והשוואה'!$D$6,0)</f>
        <v>0</v>
      </c>
      <c r="E33" s="18" t="n">
        <f aca="false">B33-C33-D33</f>
        <v>19310</v>
      </c>
      <c r="F33" s="18" t="n">
        <f aca="false">IF(A33-הנחות!$B$13&gt;=0,INDEX($B$8:$B$68,A33-הנחות!$B$13+1),0)</f>
        <v>39920</v>
      </c>
      <c r="G33" s="18" t="n">
        <f aca="false">F33-C33-D33</f>
        <v>19310</v>
      </c>
      <c r="H33" s="18" t="n">
        <f aca="false">H32+G33</f>
        <v>425100</v>
      </c>
    </row>
    <row r="34" customFormat="false" ht="15" hidden="false" customHeight="false" outlineLevel="0" collapsed="false">
      <c r="A34" s="13" t="n">
        <v>26</v>
      </c>
      <c r="B34" s="18" t="n">
        <f aca="false">IF(AND(A34&gt;=הנחות!$B$15,A34&lt;הנחות!$B$15+הנחות!$B$19),'סיכום והשוואה'!$C$4,0)+IF(AND(A34&gt;=הנחות!$B$15+36,A34&lt;הנחות!$B$15+הנחות!$B$19),'סיכום והשוואה'!$C$5,0)+IF(A34=הנחות!$B$15,'סיכום והשוואה'!$C$6,0)</f>
        <v>39920</v>
      </c>
      <c r="C34" s="18" t="n">
        <f aca="false">IF(AND(A34&gt;=הנחות!$B$15,A34&lt;הנחות!$B$15+הנחות!$B$19),'סיכום והשוואה'!$D$4,0)+IF(AND(A34&gt;=הנחות!$B$15+36,A34&lt;הנחות!$B$15+הנחות!$B$19),'סיכום והשוואה'!$D$5,0)</f>
        <v>20610</v>
      </c>
      <c r="D34" s="18" t="n">
        <f aca="false">IF(A34=1,'סיכום והשוואה'!$D$6,0)</f>
        <v>0</v>
      </c>
      <c r="E34" s="18" t="n">
        <f aca="false">B34-C34-D34</f>
        <v>19310</v>
      </c>
      <c r="F34" s="18" t="n">
        <f aca="false">IF(A34-הנחות!$B$13&gt;=0,INDEX($B$8:$B$68,A34-הנחות!$B$13+1),0)</f>
        <v>39920</v>
      </c>
      <c r="G34" s="18" t="n">
        <f aca="false">F34-C34-D34</f>
        <v>19310</v>
      </c>
      <c r="H34" s="18" t="n">
        <f aca="false">H33+G34</f>
        <v>444410</v>
      </c>
    </row>
    <row r="35" customFormat="false" ht="15" hidden="false" customHeight="false" outlineLevel="0" collapsed="false">
      <c r="A35" s="13" t="n">
        <v>27</v>
      </c>
      <c r="B35" s="18" t="n">
        <f aca="false">IF(AND(A35&gt;=הנחות!$B$15,A35&lt;הנחות!$B$15+הנחות!$B$19),'סיכום והשוואה'!$C$4,0)+IF(AND(A35&gt;=הנחות!$B$15+36,A35&lt;הנחות!$B$15+הנחות!$B$19),'סיכום והשוואה'!$C$5,0)+IF(A35=הנחות!$B$15,'סיכום והשוואה'!$C$6,0)</f>
        <v>39920</v>
      </c>
      <c r="C35" s="18" t="n">
        <f aca="false">IF(AND(A35&gt;=הנחות!$B$15,A35&lt;הנחות!$B$15+הנחות!$B$19),'סיכום והשוואה'!$D$4,0)+IF(AND(A35&gt;=הנחות!$B$15+36,A35&lt;הנחות!$B$15+הנחות!$B$19),'סיכום והשוואה'!$D$5,0)</f>
        <v>20610</v>
      </c>
      <c r="D35" s="18" t="n">
        <f aca="false">IF(A35=1,'סיכום והשוואה'!$D$6,0)</f>
        <v>0</v>
      </c>
      <c r="E35" s="18" t="n">
        <f aca="false">B35-C35-D35</f>
        <v>19310</v>
      </c>
      <c r="F35" s="18" t="n">
        <f aca="false">IF(A35-הנחות!$B$13&gt;=0,INDEX($B$8:$B$68,A35-הנחות!$B$13+1),0)</f>
        <v>39920</v>
      </c>
      <c r="G35" s="18" t="n">
        <f aca="false">F35-C35-D35</f>
        <v>19310</v>
      </c>
      <c r="H35" s="18" t="n">
        <f aca="false">H34+G35</f>
        <v>463720</v>
      </c>
    </row>
    <row r="36" customFormat="false" ht="15" hidden="false" customHeight="false" outlineLevel="0" collapsed="false">
      <c r="A36" s="13" t="n">
        <v>28</v>
      </c>
      <c r="B36" s="18" t="n">
        <f aca="false">IF(AND(A36&gt;=הנחות!$B$15,A36&lt;הנחות!$B$15+הנחות!$B$19),'סיכום והשוואה'!$C$4,0)+IF(AND(A36&gt;=הנחות!$B$15+36,A36&lt;הנחות!$B$15+הנחות!$B$19),'סיכום והשוואה'!$C$5,0)+IF(A36=הנחות!$B$15,'סיכום והשוואה'!$C$6,0)</f>
        <v>39920</v>
      </c>
      <c r="C36" s="18" t="n">
        <f aca="false">IF(AND(A36&gt;=הנחות!$B$15,A36&lt;הנחות!$B$15+הנחות!$B$19),'סיכום והשוואה'!$D$4,0)+IF(AND(A36&gt;=הנחות!$B$15+36,A36&lt;הנחות!$B$15+הנחות!$B$19),'סיכום והשוואה'!$D$5,0)</f>
        <v>20610</v>
      </c>
      <c r="D36" s="18" t="n">
        <f aca="false">IF(A36=1,'סיכום והשוואה'!$D$6,0)</f>
        <v>0</v>
      </c>
      <c r="E36" s="18" t="n">
        <f aca="false">B36-C36-D36</f>
        <v>19310</v>
      </c>
      <c r="F36" s="18" t="n">
        <f aca="false">IF(A36-הנחות!$B$13&gt;=0,INDEX($B$8:$B$68,A36-הנחות!$B$13+1),0)</f>
        <v>39920</v>
      </c>
      <c r="G36" s="18" t="n">
        <f aca="false">F36-C36-D36</f>
        <v>19310</v>
      </c>
      <c r="H36" s="18" t="n">
        <f aca="false">H35+G36</f>
        <v>483030</v>
      </c>
    </row>
    <row r="37" customFormat="false" ht="15" hidden="false" customHeight="false" outlineLevel="0" collapsed="false">
      <c r="A37" s="13" t="n">
        <v>29</v>
      </c>
      <c r="B37" s="18" t="n">
        <f aca="false">IF(AND(A37&gt;=הנחות!$B$15,A37&lt;הנחות!$B$15+הנחות!$B$19),'סיכום והשוואה'!$C$4,0)+IF(AND(A37&gt;=הנחות!$B$15+36,A37&lt;הנחות!$B$15+הנחות!$B$19),'סיכום והשוואה'!$C$5,0)+IF(A37=הנחות!$B$15,'סיכום והשוואה'!$C$6,0)</f>
        <v>39920</v>
      </c>
      <c r="C37" s="18" t="n">
        <f aca="false">IF(AND(A37&gt;=הנחות!$B$15,A37&lt;הנחות!$B$15+הנחות!$B$19),'סיכום והשוואה'!$D$4,0)+IF(AND(A37&gt;=הנחות!$B$15+36,A37&lt;הנחות!$B$15+הנחות!$B$19),'סיכום והשוואה'!$D$5,0)</f>
        <v>20610</v>
      </c>
      <c r="D37" s="18" t="n">
        <f aca="false">IF(A37=1,'סיכום והשוואה'!$D$6,0)</f>
        <v>0</v>
      </c>
      <c r="E37" s="18" t="n">
        <f aca="false">B37-C37-D37</f>
        <v>19310</v>
      </c>
      <c r="F37" s="18" t="n">
        <f aca="false">IF(A37-הנחות!$B$13&gt;=0,INDEX($B$8:$B$68,A37-הנחות!$B$13+1),0)</f>
        <v>39920</v>
      </c>
      <c r="G37" s="18" t="n">
        <f aca="false">F37-C37-D37</f>
        <v>19310</v>
      </c>
      <c r="H37" s="18" t="n">
        <f aca="false">H36+G37</f>
        <v>502340</v>
      </c>
    </row>
    <row r="38" customFormat="false" ht="15" hidden="false" customHeight="false" outlineLevel="0" collapsed="false">
      <c r="A38" s="13" t="n">
        <v>30</v>
      </c>
      <c r="B38" s="18" t="n">
        <f aca="false">IF(AND(A38&gt;=הנחות!$B$15,A38&lt;הנחות!$B$15+הנחות!$B$19),'סיכום והשוואה'!$C$4,0)+IF(AND(A38&gt;=הנחות!$B$15+36,A38&lt;הנחות!$B$15+הנחות!$B$19),'סיכום והשוואה'!$C$5,0)+IF(A38=הנחות!$B$15,'סיכום והשוואה'!$C$6,0)</f>
        <v>39920</v>
      </c>
      <c r="C38" s="18" t="n">
        <f aca="false">IF(AND(A38&gt;=הנחות!$B$15,A38&lt;הנחות!$B$15+הנחות!$B$19),'סיכום והשוואה'!$D$4,0)+IF(AND(A38&gt;=הנחות!$B$15+36,A38&lt;הנחות!$B$15+הנחות!$B$19),'סיכום והשוואה'!$D$5,0)</f>
        <v>20610</v>
      </c>
      <c r="D38" s="18" t="n">
        <f aca="false">IF(A38=1,'סיכום והשוואה'!$D$6,0)</f>
        <v>0</v>
      </c>
      <c r="E38" s="18" t="n">
        <f aca="false">B38-C38-D38</f>
        <v>19310</v>
      </c>
      <c r="F38" s="18" t="n">
        <f aca="false">IF(A38-הנחות!$B$13&gt;=0,INDEX($B$8:$B$68,A38-הנחות!$B$13+1),0)</f>
        <v>39920</v>
      </c>
      <c r="G38" s="18" t="n">
        <f aca="false">F38-C38-D38</f>
        <v>19310</v>
      </c>
      <c r="H38" s="18" t="n">
        <f aca="false">H37+G38</f>
        <v>521650</v>
      </c>
    </row>
    <row r="39" customFormat="false" ht="15" hidden="false" customHeight="false" outlineLevel="0" collapsed="false">
      <c r="A39" s="13" t="n">
        <v>31</v>
      </c>
      <c r="B39" s="18" t="n">
        <f aca="false">IF(AND(A39&gt;=הנחות!$B$15,A39&lt;הנחות!$B$15+הנחות!$B$19),'סיכום והשוואה'!$C$4,0)+IF(AND(A39&gt;=הנחות!$B$15+36,A39&lt;הנחות!$B$15+הנחות!$B$19),'סיכום והשוואה'!$C$5,0)+IF(A39=הנחות!$B$15,'סיכום והשוואה'!$C$6,0)</f>
        <v>39920</v>
      </c>
      <c r="C39" s="18" t="n">
        <f aca="false">IF(AND(A39&gt;=הנחות!$B$15,A39&lt;הנחות!$B$15+הנחות!$B$19),'סיכום והשוואה'!$D$4,0)+IF(AND(A39&gt;=הנחות!$B$15+36,A39&lt;הנחות!$B$15+הנחות!$B$19),'סיכום והשוואה'!$D$5,0)</f>
        <v>20610</v>
      </c>
      <c r="D39" s="18" t="n">
        <f aca="false">IF(A39=1,'סיכום והשוואה'!$D$6,0)</f>
        <v>0</v>
      </c>
      <c r="E39" s="18" t="n">
        <f aca="false">B39-C39-D39</f>
        <v>19310</v>
      </c>
      <c r="F39" s="18" t="n">
        <f aca="false">IF(A39-הנחות!$B$13&gt;=0,INDEX($B$8:$B$68,A39-הנחות!$B$13+1),0)</f>
        <v>39920</v>
      </c>
      <c r="G39" s="18" t="n">
        <f aca="false">F39-C39-D39</f>
        <v>19310</v>
      </c>
      <c r="H39" s="18" t="n">
        <f aca="false">H38+G39</f>
        <v>540960</v>
      </c>
    </row>
    <row r="40" customFormat="false" ht="15" hidden="false" customHeight="false" outlineLevel="0" collapsed="false">
      <c r="A40" s="13" t="n">
        <v>32</v>
      </c>
      <c r="B40" s="18" t="n">
        <f aca="false">IF(AND(A40&gt;=הנחות!$B$15,A40&lt;הנחות!$B$15+הנחות!$B$19),'סיכום והשוואה'!$C$4,0)+IF(AND(A40&gt;=הנחות!$B$15+36,A40&lt;הנחות!$B$15+הנחות!$B$19),'סיכום והשוואה'!$C$5,0)+IF(A40=הנחות!$B$15,'סיכום והשוואה'!$C$6,0)</f>
        <v>39920</v>
      </c>
      <c r="C40" s="18" t="n">
        <f aca="false">IF(AND(A40&gt;=הנחות!$B$15,A40&lt;הנחות!$B$15+הנחות!$B$19),'סיכום והשוואה'!$D$4,0)+IF(AND(A40&gt;=הנחות!$B$15+36,A40&lt;הנחות!$B$15+הנחות!$B$19),'סיכום והשוואה'!$D$5,0)</f>
        <v>20610</v>
      </c>
      <c r="D40" s="18" t="n">
        <f aca="false">IF(A40=1,'סיכום והשוואה'!$D$6,0)</f>
        <v>0</v>
      </c>
      <c r="E40" s="18" t="n">
        <f aca="false">B40-C40-D40</f>
        <v>19310</v>
      </c>
      <c r="F40" s="18" t="n">
        <f aca="false">IF(A40-הנחות!$B$13&gt;=0,INDEX($B$8:$B$68,A40-הנחות!$B$13+1),0)</f>
        <v>39920</v>
      </c>
      <c r="G40" s="18" t="n">
        <f aca="false">F40-C40-D40</f>
        <v>19310</v>
      </c>
      <c r="H40" s="18" t="n">
        <f aca="false">H39+G40</f>
        <v>560270</v>
      </c>
    </row>
    <row r="41" customFormat="false" ht="15" hidden="false" customHeight="false" outlineLevel="0" collapsed="false">
      <c r="A41" s="13" t="n">
        <v>33</v>
      </c>
      <c r="B41" s="18" t="n">
        <f aca="false">IF(AND(A41&gt;=הנחות!$B$15,A41&lt;הנחות!$B$15+הנחות!$B$19),'סיכום והשוואה'!$C$4,0)+IF(AND(A41&gt;=הנחות!$B$15+36,A41&lt;הנחות!$B$15+הנחות!$B$19),'סיכום והשוואה'!$C$5,0)+IF(A41=הנחות!$B$15,'סיכום והשוואה'!$C$6,0)</f>
        <v>39920</v>
      </c>
      <c r="C41" s="18" t="n">
        <f aca="false">IF(AND(A41&gt;=הנחות!$B$15,A41&lt;הנחות!$B$15+הנחות!$B$19),'סיכום והשוואה'!$D$4,0)+IF(AND(A41&gt;=הנחות!$B$15+36,A41&lt;הנחות!$B$15+הנחות!$B$19),'סיכום והשוואה'!$D$5,0)</f>
        <v>20610</v>
      </c>
      <c r="D41" s="18" t="n">
        <f aca="false">IF(A41=1,'סיכום והשוואה'!$D$6,0)</f>
        <v>0</v>
      </c>
      <c r="E41" s="18" t="n">
        <f aca="false">B41-C41-D41</f>
        <v>19310</v>
      </c>
      <c r="F41" s="18" t="n">
        <f aca="false">IF(A41-הנחות!$B$13&gt;=0,INDEX($B$8:$B$68,A41-הנחות!$B$13+1),0)</f>
        <v>39920</v>
      </c>
      <c r="G41" s="18" t="n">
        <f aca="false">F41-C41-D41</f>
        <v>19310</v>
      </c>
      <c r="H41" s="18" t="n">
        <f aca="false">H40+G41</f>
        <v>579580</v>
      </c>
    </row>
    <row r="42" customFormat="false" ht="15" hidden="false" customHeight="false" outlineLevel="0" collapsed="false">
      <c r="A42" s="13" t="n">
        <v>34</v>
      </c>
      <c r="B42" s="18" t="n">
        <f aca="false">IF(AND(A42&gt;=הנחות!$B$15,A42&lt;הנחות!$B$15+הנחות!$B$19),'סיכום והשוואה'!$C$4,0)+IF(AND(A42&gt;=הנחות!$B$15+36,A42&lt;הנחות!$B$15+הנחות!$B$19),'סיכום והשוואה'!$C$5,0)+IF(A42=הנחות!$B$15,'סיכום והשוואה'!$C$6,0)</f>
        <v>39920</v>
      </c>
      <c r="C42" s="18" t="n">
        <f aca="false">IF(AND(A42&gt;=הנחות!$B$15,A42&lt;הנחות!$B$15+הנחות!$B$19),'סיכום והשוואה'!$D$4,0)+IF(AND(A42&gt;=הנחות!$B$15+36,A42&lt;הנחות!$B$15+הנחות!$B$19),'סיכום והשוואה'!$D$5,0)</f>
        <v>20610</v>
      </c>
      <c r="D42" s="18" t="n">
        <f aca="false">IF(A42=1,'סיכום והשוואה'!$D$6,0)</f>
        <v>0</v>
      </c>
      <c r="E42" s="18" t="n">
        <f aca="false">B42-C42-D42</f>
        <v>19310</v>
      </c>
      <c r="F42" s="18" t="n">
        <f aca="false">IF(A42-הנחות!$B$13&gt;=0,INDEX($B$8:$B$68,A42-הנחות!$B$13+1),0)</f>
        <v>39920</v>
      </c>
      <c r="G42" s="18" t="n">
        <f aca="false">F42-C42-D42</f>
        <v>19310</v>
      </c>
      <c r="H42" s="18" t="n">
        <f aca="false">H41+G42</f>
        <v>598890</v>
      </c>
    </row>
    <row r="43" customFormat="false" ht="15" hidden="false" customHeight="false" outlineLevel="0" collapsed="false">
      <c r="A43" s="13" t="n">
        <v>35</v>
      </c>
      <c r="B43" s="18" t="n">
        <f aca="false">IF(AND(A43&gt;=הנחות!$B$15,A43&lt;הנחות!$B$15+הנחות!$B$19),'סיכום והשוואה'!$C$4,0)+IF(AND(A43&gt;=הנחות!$B$15+36,A43&lt;הנחות!$B$15+הנחות!$B$19),'סיכום והשוואה'!$C$5,0)+IF(A43=הנחות!$B$15,'סיכום והשוואה'!$C$6,0)</f>
        <v>39920</v>
      </c>
      <c r="C43" s="18" t="n">
        <f aca="false">IF(AND(A43&gt;=הנחות!$B$15,A43&lt;הנחות!$B$15+הנחות!$B$19),'סיכום והשוואה'!$D$4,0)+IF(AND(A43&gt;=הנחות!$B$15+36,A43&lt;הנחות!$B$15+הנחות!$B$19),'סיכום והשוואה'!$D$5,0)</f>
        <v>20610</v>
      </c>
      <c r="D43" s="18" t="n">
        <f aca="false">IF(A43=1,'סיכום והשוואה'!$D$6,0)</f>
        <v>0</v>
      </c>
      <c r="E43" s="18" t="n">
        <f aca="false">B43-C43-D43</f>
        <v>19310</v>
      </c>
      <c r="F43" s="18" t="n">
        <f aca="false">IF(A43-הנחות!$B$13&gt;=0,INDEX($B$8:$B$68,A43-הנחות!$B$13+1),0)</f>
        <v>39920</v>
      </c>
      <c r="G43" s="18" t="n">
        <f aca="false">F43-C43-D43</f>
        <v>19310</v>
      </c>
      <c r="H43" s="18" t="n">
        <f aca="false">H42+G43</f>
        <v>618200</v>
      </c>
    </row>
    <row r="44" customFormat="false" ht="15" hidden="false" customHeight="false" outlineLevel="0" collapsed="false">
      <c r="A44" s="13" t="n">
        <v>36</v>
      </c>
      <c r="B44" s="18" t="n">
        <f aca="false">IF(AND(A44&gt;=הנחות!$B$15,A44&lt;הנחות!$B$15+הנחות!$B$19),'סיכום והשוואה'!$C$4,0)+IF(AND(A44&gt;=הנחות!$B$15+36,A44&lt;הנחות!$B$15+הנחות!$B$19),'סיכום והשוואה'!$C$5,0)+IF(A44=הנחות!$B$15,'סיכום והשוואה'!$C$6,0)</f>
        <v>39920</v>
      </c>
      <c r="C44" s="18" t="n">
        <f aca="false">IF(AND(A44&gt;=הנחות!$B$15,A44&lt;הנחות!$B$15+הנחות!$B$19),'סיכום והשוואה'!$D$4,0)+IF(AND(A44&gt;=הנחות!$B$15+36,A44&lt;הנחות!$B$15+הנחות!$B$19),'סיכום והשוואה'!$D$5,0)</f>
        <v>20610</v>
      </c>
      <c r="D44" s="18" t="n">
        <f aca="false">IF(A44=1,'סיכום והשוואה'!$D$6,0)</f>
        <v>0</v>
      </c>
      <c r="E44" s="18" t="n">
        <f aca="false">B44-C44-D44</f>
        <v>19310</v>
      </c>
      <c r="F44" s="18" t="n">
        <f aca="false">IF(A44-הנחות!$B$13&gt;=0,INDEX($B$8:$B$68,A44-הנחות!$B$13+1),0)</f>
        <v>39920</v>
      </c>
      <c r="G44" s="18" t="n">
        <f aca="false">F44-C44-D44</f>
        <v>19310</v>
      </c>
      <c r="H44" s="18" t="n">
        <f aca="false">H43+G44</f>
        <v>637510</v>
      </c>
    </row>
    <row r="45" customFormat="false" ht="15" hidden="false" customHeight="false" outlineLevel="0" collapsed="false">
      <c r="A45" s="13" t="n">
        <v>37</v>
      </c>
      <c r="B45" s="18" t="n">
        <f aca="false">IF(AND(A45&gt;=הנחות!$B$15,A45&lt;הנחות!$B$15+הנחות!$B$19),'סיכום והשוואה'!$C$4,0)+IF(AND(A45&gt;=הנחות!$B$15+36,A45&lt;הנחות!$B$15+הנחות!$B$19),'סיכום והשוואה'!$C$5,0)+IF(A45=הנחות!$B$15,'סיכום והשוואה'!$C$6,0)</f>
        <v>39920</v>
      </c>
      <c r="C45" s="18" t="n">
        <f aca="false">IF(AND(A45&gt;=הנחות!$B$15,A45&lt;הנחות!$B$15+הנחות!$B$19),'סיכום והשוואה'!$D$4,0)+IF(AND(A45&gt;=הנחות!$B$15+36,A45&lt;הנחות!$B$15+הנחות!$B$19),'סיכום והשוואה'!$D$5,0)</f>
        <v>20610</v>
      </c>
      <c r="D45" s="18" t="n">
        <f aca="false">IF(A45=1,'סיכום והשוואה'!$D$6,0)</f>
        <v>0</v>
      </c>
      <c r="E45" s="18" t="n">
        <f aca="false">B45-C45-D45</f>
        <v>19310</v>
      </c>
      <c r="F45" s="18" t="n">
        <f aca="false">IF(A45-הנחות!$B$13&gt;=0,INDEX($B$8:$B$68,A45-הנחות!$B$13+1),0)</f>
        <v>39920</v>
      </c>
      <c r="G45" s="18" t="n">
        <f aca="false">F45-C45-D45</f>
        <v>19310</v>
      </c>
      <c r="H45" s="18" t="n">
        <f aca="false">H44+G45</f>
        <v>656820</v>
      </c>
    </row>
    <row r="46" customFormat="false" ht="15" hidden="false" customHeight="false" outlineLevel="0" collapsed="false">
      <c r="A46" s="13" t="n">
        <v>38</v>
      </c>
      <c r="B46" s="18" t="n">
        <f aca="false">IF(AND(A46&gt;=הנחות!$B$15,A46&lt;הנחות!$B$15+הנחות!$B$19),'סיכום והשוואה'!$C$4,0)+IF(AND(A46&gt;=הנחות!$B$15+36,A46&lt;הנחות!$B$15+הנחות!$B$19),'סיכום והשוואה'!$C$5,0)+IF(A46=הנחות!$B$15,'סיכום והשוואה'!$C$6,0)</f>
        <v>0</v>
      </c>
      <c r="C46" s="18" t="n">
        <f aca="false">IF(AND(A46&gt;=הנחות!$B$15,A46&lt;הנחות!$B$15+הנחות!$B$19),'סיכום והשוואה'!$D$4,0)+IF(AND(A46&gt;=הנחות!$B$15+36,A46&lt;הנחות!$B$15+הנחות!$B$19),'סיכום והשוואה'!$D$5,0)</f>
        <v>0</v>
      </c>
      <c r="D46" s="18" t="n">
        <f aca="false">IF(A46=1,'סיכום והשוואה'!$D$6,0)</f>
        <v>0</v>
      </c>
      <c r="E46" s="18" t="n">
        <f aca="false">B46-C46-D46</f>
        <v>0</v>
      </c>
      <c r="F46" s="18" t="n">
        <f aca="false">IF(A46-הנחות!$B$13&gt;=0,INDEX($B$8:$B$68,A46-הנחות!$B$13+1),0)</f>
        <v>39920</v>
      </c>
      <c r="G46" s="18" t="n">
        <f aca="false">F46-C46-D46</f>
        <v>39920</v>
      </c>
      <c r="H46" s="18" t="n">
        <f aca="false">H45+G46</f>
        <v>696740</v>
      </c>
    </row>
    <row r="47" customFormat="false" ht="15" hidden="false" customHeight="false" outlineLevel="0" collapsed="false">
      <c r="A47" s="13" t="n">
        <v>39</v>
      </c>
      <c r="B47" s="18" t="n">
        <f aca="false">IF(AND(A47&gt;=הנחות!$B$15,A47&lt;הנחות!$B$15+הנחות!$B$19),'סיכום והשוואה'!$C$4,0)+IF(AND(A47&gt;=הנחות!$B$15+36,A47&lt;הנחות!$B$15+הנחות!$B$19),'סיכום והשוואה'!$C$5,0)+IF(A47=הנחות!$B$15,'סיכום והשוואה'!$C$6,0)</f>
        <v>0</v>
      </c>
      <c r="C47" s="18" t="n">
        <f aca="false">IF(AND(A47&gt;=הנחות!$B$15,A47&lt;הנחות!$B$15+הנחות!$B$19),'סיכום והשוואה'!$D$4,0)+IF(AND(A47&gt;=הנחות!$B$15+36,A47&lt;הנחות!$B$15+הנחות!$B$19),'סיכום והשוואה'!$D$5,0)</f>
        <v>0</v>
      </c>
      <c r="D47" s="18" t="n">
        <f aca="false">IF(A47=1,'סיכום והשוואה'!$D$6,0)</f>
        <v>0</v>
      </c>
      <c r="E47" s="18" t="n">
        <f aca="false">B47-C47-D47</f>
        <v>0</v>
      </c>
      <c r="F47" s="18" t="n">
        <f aca="false">IF(A47-הנחות!$B$13&gt;=0,INDEX($B$8:$B$68,A47-הנחות!$B$13+1),0)</f>
        <v>39920</v>
      </c>
      <c r="G47" s="18" t="n">
        <f aca="false">F47-C47-D47</f>
        <v>39920</v>
      </c>
      <c r="H47" s="18" t="n">
        <f aca="false">H46+G47</f>
        <v>736660</v>
      </c>
    </row>
    <row r="48" customFormat="false" ht="15" hidden="false" customHeight="false" outlineLevel="0" collapsed="false">
      <c r="A48" s="13" t="n">
        <v>40</v>
      </c>
      <c r="B48" s="18" t="n">
        <f aca="false">IF(AND(A48&gt;=הנחות!$B$15,A48&lt;הנחות!$B$15+הנחות!$B$19),'סיכום והשוואה'!$C$4,0)+IF(AND(A48&gt;=הנחות!$B$15+36,A48&lt;הנחות!$B$15+הנחות!$B$19),'סיכום והשוואה'!$C$5,0)+IF(A48=הנחות!$B$15,'סיכום והשוואה'!$C$6,0)</f>
        <v>0</v>
      </c>
      <c r="C48" s="18" t="n">
        <f aca="false">IF(AND(A48&gt;=הנחות!$B$15,A48&lt;הנחות!$B$15+הנחות!$B$19),'סיכום והשוואה'!$D$4,0)+IF(AND(A48&gt;=הנחות!$B$15+36,A48&lt;הנחות!$B$15+הנחות!$B$19),'סיכום והשוואה'!$D$5,0)</f>
        <v>0</v>
      </c>
      <c r="D48" s="18" t="n">
        <f aca="false">IF(A48=1,'סיכום והשוואה'!$D$6,0)</f>
        <v>0</v>
      </c>
      <c r="E48" s="18" t="n">
        <f aca="false">B48-C48-D48</f>
        <v>0</v>
      </c>
      <c r="F48" s="18" t="n">
        <f aca="false">IF(A48-הנחות!$B$13&gt;=0,INDEX($B$8:$B$68,A48-הנחות!$B$13+1),0)</f>
        <v>0</v>
      </c>
      <c r="G48" s="18" t="n">
        <f aca="false">F48-C48-D48</f>
        <v>0</v>
      </c>
      <c r="H48" s="18" t="n">
        <f aca="false">H47+G48</f>
        <v>736660</v>
      </c>
    </row>
    <row r="49" customFormat="false" ht="15" hidden="false" customHeight="false" outlineLevel="0" collapsed="false">
      <c r="A49" s="13" t="n">
        <v>41</v>
      </c>
      <c r="B49" s="18" t="n">
        <f aca="false">IF(AND(A49&gt;=הנחות!$B$15,A49&lt;הנחות!$B$15+הנחות!$B$19),'סיכום והשוואה'!$C$4,0)+IF(AND(A49&gt;=הנחות!$B$15+36,A49&lt;הנחות!$B$15+הנחות!$B$19),'סיכום והשוואה'!$C$5,0)+IF(A49=הנחות!$B$15,'סיכום והשוואה'!$C$6,0)</f>
        <v>0</v>
      </c>
      <c r="C49" s="18" t="n">
        <f aca="false">IF(AND(A49&gt;=הנחות!$B$15,A49&lt;הנחות!$B$15+הנחות!$B$19),'סיכום והשוואה'!$D$4,0)+IF(AND(A49&gt;=הנחות!$B$15+36,A49&lt;הנחות!$B$15+הנחות!$B$19),'סיכום והשוואה'!$D$5,0)</f>
        <v>0</v>
      </c>
      <c r="D49" s="18" t="n">
        <f aca="false">IF(A49=1,'סיכום והשוואה'!$D$6,0)</f>
        <v>0</v>
      </c>
      <c r="E49" s="18" t="n">
        <f aca="false">B49-C49-D49</f>
        <v>0</v>
      </c>
      <c r="F49" s="18" t="n">
        <f aca="false">IF(A49-הנחות!$B$13&gt;=0,INDEX($B$8:$B$68,A49-הנחות!$B$13+1),0)</f>
        <v>0</v>
      </c>
      <c r="G49" s="18" t="n">
        <f aca="false">F49-C49-D49</f>
        <v>0</v>
      </c>
      <c r="H49" s="18" t="n">
        <f aca="false">H48+G49</f>
        <v>736660</v>
      </c>
    </row>
    <row r="50" customFormat="false" ht="15" hidden="false" customHeight="false" outlineLevel="0" collapsed="false">
      <c r="A50" s="13" t="n">
        <v>42</v>
      </c>
      <c r="B50" s="18" t="n">
        <f aca="false">IF(AND(A50&gt;=הנחות!$B$15,A50&lt;הנחות!$B$15+הנחות!$B$19),'סיכום והשוואה'!$C$4,0)+IF(AND(A50&gt;=הנחות!$B$15+36,A50&lt;הנחות!$B$15+הנחות!$B$19),'סיכום והשוואה'!$C$5,0)+IF(A50=הנחות!$B$15,'סיכום והשוואה'!$C$6,0)</f>
        <v>0</v>
      </c>
      <c r="C50" s="18" t="n">
        <f aca="false">IF(AND(A50&gt;=הנחות!$B$15,A50&lt;הנחות!$B$15+הנחות!$B$19),'סיכום והשוואה'!$D$4,0)+IF(AND(A50&gt;=הנחות!$B$15+36,A50&lt;הנחות!$B$15+הנחות!$B$19),'סיכום והשוואה'!$D$5,0)</f>
        <v>0</v>
      </c>
      <c r="D50" s="18" t="n">
        <f aca="false">IF(A50=1,'סיכום והשוואה'!$D$6,0)</f>
        <v>0</v>
      </c>
      <c r="E50" s="18" t="n">
        <f aca="false">B50-C50-D50</f>
        <v>0</v>
      </c>
      <c r="F50" s="18" t="n">
        <f aca="false">IF(A50-הנחות!$B$13&gt;=0,INDEX($B$8:$B$68,A50-הנחות!$B$13+1),0)</f>
        <v>0</v>
      </c>
      <c r="G50" s="18" t="n">
        <f aca="false">F50-C50-D50</f>
        <v>0</v>
      </c>
      <c r="H50" s="18" t="n">
        <f aca="false">H49+G50</f>
        <v>736660</v>
      </c>
    </row>
    <row r="51" customFormat="false" ht="15" hidden="false" customHeight="false" outlineLevel="0" collapsed="false">
      <c r="A51" s="13" t="n">
        <v>43</v>
      </c>
      <c r="B51" s="18" t="n">
        <f aca="false">IF(AND(A51&gt;=הנחות!$B$15,A51&lt;הנחות!$B$15+הנחות!$B$19),'סיכום והשוואה'!$C$4,0)+IF(AND(A51&gt;=הנחות!$B$15+36,A51&lt;הנחות!$B$15+הנחות!$B$19),'סיכום והשוואה'!$C$5,0)+IF(A51=הנחות!$B$15,'סיכום והשוואה'!$C$6,0)</f>
        <v>0</v>
      </c>
      <c r="C51" s="18" t="n">
        <f aca="false">IF(AND(A51&gt;=הנחות!$B$15,A51&lt;הנחות!$B$15+הנחות!$B$19),'סיכום והשוואה'!$D$4,0)+IF(AND(A51&gt;=הנחות!$B$15+36,A51&lt;הנחות!$B$15+הנחות!$B$19),'סיכום והשוואה'!$D$5,0)</f>
        <v>0</v>
      </c>
      <c r="D51" s="18" t="n">
        <f aca="false">IF(A51=1,'סיכום והשוואה'!$D$6,0)</f>
        <v>0</v>
      </c>
      <c r="E51" s="18" t="n">
        <f aca="false">B51-C51-D51</f>
        <v>0</v>
      </c>
      <c r="F51" s="18" t="n">
        <f aca="false">IF(A51-הנחות!$B$13&gt;=0,INDEX($B$8:$B$68,A51-הנחות!$B$13+1),0)</f>
        <v>0</v>
      </c>
      <c r="G51" s="18" t="n">
        <f aca="false">F51-C51-D51</f>
        <v>0</v>
      </c>
      <c r="H51" s="18" t="n">
        <f aca="false">H50+G51</f>
        <v>736660</v>
      </c>
    </row>
    <row r="52" customFormat="false" ht="15" hidden="false" customHeight="false" outlineLevel="0" collapsed="false">
      <c r="A52" s="13" t="n">
        <v>44</v>
      </c>
      <c r="B52" s="18" t="n">
        <f aca="false">IF(AND(A52&gt;=הנחות!$B$15,A52&lt;הנחות!$B$15+הנחות!$B$19),'סיכום והשוואה'!$C$4,0)+IF(AND(A52&gt;=הנחות!$B$15+36,A52&lt;הנחות!$B$15+הנחות!$B$19),'סיכום והשוואה'!$C$5,0)+IF(A52=הנחות!$B$15,'סיכום והשוואה'!$C$6,0)</f>
        <v>0</v>
      </c>
      <c r="C52" s="18" t="n">
        <f aca="false">IF(AND(A52&gt;=הנחות!$B$15,A52&lt;הנחות!$B$15+הנחות!$B$19),'סיכום והשוואה'!$D$4,0)+IF(AND(A52&gt;=הנחות!$B$15+36,A52&lt;הנחות!$B$15+הנחות!$B$19),'סיכום והשוואה'!$D$5,0)</f>
        <v>0</v>
      </c>
      <c r="D52" s="18" t="n">
        <f aca="false">IF(A52=1,'סיכום והשוואה'!$D$6,0)</f>
        <v>0</v>
      </c>
      <c r="E52" s="18" t="n">
        <f aca="false">B52-C52-D52</f>
        <v>0</v>
      </c>
      <c r="F52" s="18" t="n">
        <f aca="false">IF(A52-הנחות!$B$13&gt;=0,INDEX($B$8:$B$68,A52-הנחות!$B$13+1),0)</f>
        <v>0</v>
      </c>
      <c r="G52" s="18" t="n">
        <f aca="false">F52-C52-D52</f>
        <v>0</v>
      </c>
      <c r="H52" s="18" t="n">
        <f aca="false">H51+G52</f>
        <v>736660</v>
      </c>
    </row>
    <row r="53" customFormat="false" ht="15" hidden="false" customHeight="false" outlineLevel="0" collapsed="false">
      <c r="A53" s="13" t="n">
        <v>45</v>
      </c>
      <c r="B53" s="18" t="n">
        <f aca="false">IF(AND(A53&gt;=הנחות!$B$15,A53&lt;הנחות!$B$15+הנחות!$B$19),'סיכום והשוואה'!$C$4,0)+IF(AND(A53&gt;=הנחות!$B$15+36,A53&lt;הנחות!$B$15+הנחות!$B$19),'סיכום והשוואה'!$C$5,0)+IF(A53=הנחות!$B$15,'סיכום והשוואה'!$C$6,0)</f>
        <v>0</v>
      </c>
      <c r="C53" s="18" t="n">
        <f aca="false">IF(AND(A53&gt;=הנחות!$B$15,A53&lt;הנחות!$B$15+הנחות!$B$19),'סיכום והשוואה'!$D$4,0)+IF(AND(A53&gt;=הנחות!$B$15+36,A53&lt;הנחות!$B$15+הנחות!$B$19),'סיכום והשוואה'!$D$5,0)</f>
        <v>0</v>
      </c>
      <c r="D53" s="18" t="n">
        <f aca="false">IF(A53=1,'סיכום והשוואה'!$D$6,0)</f>
        <v>0</v>
      </c>
      <c r="E53" s="18" t="n">
        <f aca="false">B53-C53-D53</f>
        <v>0</v>
      </c>
      <c r="F53" s="18" t="n">
        <f aca="false">IF(A53-הנחות!$B$13&gt;=0,INDEX($B$8:$B$68,A53-הנחות!$B$13+1),0)</f>
        <v>0</v>
      </c>
      <c r="G53" s="18" t="n">
        <f aca="false">F53-C53-D53</f>
        <v>0</v>
      </c>
      <c r="H53" s="18" t="n">
        <f aca="false">H52+G53</f>
        <v>736660</v>
      </c>
    </row>
    <row r="54" customFormat="false" ht="15" hidden="false" customHeight="false" outlineLevel="0" collapsed="false">
      <c r="A54" s="13" t="n">
        <v>46</v>
      </c>
      <c r="B54" s="18" t="n">
        <f aca="false">IF(AND(A54&gt;=הנחות!$B$15,A54&lt;הנחות!$B$15+הנחות!$B$19),'סיכום והשוואה'!$C$4,0)+IF(AND(A54&gt;=הנחות!$B$15+36,A54&lt;הנחות!$B$15+הנחות!$B$19),'סיכום והשוואה'!$C$5,0)+IF(A54=הנחות!$B$15,'סיכום והשוואה'!$C$6,0)</f>
        <v>0</v>
      </c>
      <c r="C54" s="18" t="n">
        <f aca="false">IF(AND(A54&gt;=הנחות!$B$15,A54&lt;הנחות!$B$15+הנחות!$B$19),'סיכום והשוואה'!$D$4,0)+IF(AND(A54&gt;=הנחות!$B$15+36,A54&lt;הנחות!$B$15+הנחות!$B$19),'סיכום והשוואה'!$D$5,0)</f>
        <v>0</v>
      </c>
      <c r="D54" s="18" t="n">
        <f aca="false">IF(A54=1,'סיכום והשוואה'!$D$6,0)</f>
        <v>0</v>
      </c>
      <c r="E54" s="18" t="n">
        <f aca="false">B54-C54-D54</f>
        <v>0</v>
      </c>
      <c r="F54" s="18" t="n">
        <f aca="false">IF(A54-הנחות!$B$13&gt;=0,INDEX($B$8:$B$68,A54-הנחות!$B$13+1),0)</f>
        <v>0</v>
      </c>
      <c r="G54" s="18" t="n">
        <f aca="false">F54-C54-D54</f>
        <v>0</v>
      </c>
      <c r="H54" s="18" t="n">
        <f aca="false">H53+G54</f>
        <v>736660</v>
      </c>
    </row>
    <row r="55" customFormat="false" ht="15" hidden="false" customHeight="false" outlineLevel="0" collapsed="false">
      <c r="A55" s="13" t="n">
        <v>47</v>
      </c>
      <c r="B55" s="18" t="n">
        <f aca="false">IF(AND(A55&gt;=הנחות!$B$15,A55&lt;הנחות!$B$15+הנחות!$B$19),'סיכום והשוואה'!$C$4,0)+IF(AND(A55&gt;=הנחות!$B$15+36,A55&lt;הנחות!$B$15+הנחות!$B$19),'סיכום והשוואה'!$C$5,0)+IF(A55=הנחות!$B$15,'סיכום והשוואה'!$C$6,0)</f>
        <v>0</v>
      </c>
      <c r="C55" s="18" t="n">
        <f aca="false">IF(AND(A55&gt;=הנחות!$B$15,A55&lt;הנחות!$B$15+הנחות!$B$19),'סיכום והשוואה'!$D$4,0)+IF(AND(A55&gt;=הנחות!$B$15+36,A55&lt;הנחות!$B$15+הנחות!$B$19),'סיכום והשוואה'!$D$5,0)</f>
        <v>0</v>
      </c>
      <c r="D55" s="18" t="n">
        <f aca="false">IF(A55=1,'סיכום והשוואה'!$D$6,0)</f>
        <v>0</v>
      </c>
      <c r="E55" s="18" t="n">
        <f aca="false">B55-C55-D55</f>
        <v>0</v>
      </c>
      <c r="F55" s="18" t="n">
        <f aca="false">IF(A55-הנחות!$B$13&gt;=0,INDEX($B$8:$B$68,A55-הנחות!$B$13+1),0)</f>
        <v>0</v>
      </c>
      <c r="G55" s="18" t="n">
        <f aca="false">F55-C55-D55</f>
        <v>0</v>
      </c>
      <c r="H55" s="18" t="n">
        <f aca="false">H54+G55</f>
        <v>736660</v>
      </c>
    </row>
    <row r="56" customFormat="false" ht="15" hidden="false" customHeight="false" outlineLevel="0" collapsed="false">
      <c r="A56" s="13" t="n">
        <v>48</v>
      </c>
      <c r="B56" s="18" t="n">
        <f aca="false">IF(AND(A56&gt;=הנחות!$B$15,A56&lt;הנחות!$B$15+הנחות!$B$19),'סיכום והשוואה'!$C$4,0)+IF(AND(A56&gt;=הנחות!$B$15+36,A56&lt;הנחות!$B$15+הנחות!$B$19),'סיכום והשוואה'!$C$5,0)+IF(A56=הנחות!$B$15,'סיכום והשוואה'!$C$6,0)</f>
        <v>0</v>
      </c>
      <c r="C56" s="18" t="n">
        <f aca="false">IF(AND(A56&gt;=הנחות!$B$15,A56&lt;הנחות!$B$15+הנחות!$B$19),'סיכום והשוואה'!$D$4,0)+IF(AND(A56&gt;=הנחות!$B$15+36,A56&lt;הנחות!$B$15+הנחות!$B$19),'סיכום והשוואה'!$D$5,0)</f>
        <v>0</v>
      </c>
      <c r="D56" s="18" t="n">
        <f aca="false">IF(A56=1,'סיכום והשוואה'!$D$6,0)</f>
        <v>0</v>
      </c>
      <c r="E56" s="18" t="n">
        <f aca="false">B56-C56-D56</f>
        <v>0</v>
      </c>
      <c r="F56" s="18" t="n">
        <f aca="false">IF(A56-הנחות!$B$13&gt;=0,INDEX($B$8:$B$68,A56-הנחות!$B$13+1),0)</f>
        <v>0</v>
      </c>
      <c r="G56" s="18" t="n">
        <f aca="false">F56-C56-D56</f>
        <v>0</v>
      </c>
      <c r="H56" s="18" t="n">
        <f aca="false">H55+G56</f>
        <v>736660</v>
      </c>
    </row>
    <row r="57" customFormat="false" ht="15" hidden="false" customHeight="false" outlineLevel="0" collapsed="false">
      <c r="A57" s="13" t="n">
        <v>49</v>
      </c>
      <c r="B57" s="18" t="n">
        <f aca="false">IF(AND(A57&gt;=הנחות!$B$15,A57&lt;הנחות!$B$15+הנחות!$B$19),'סיכום והשוואה'!$C$4,0)+IF(AND(A57&gt;=הנחות!$B$15+36,A57&lt;הנחות!$B$15+הנחות!$B$19),'סיכום והשוואה'!$C$5,0)+IF(A57=הנחות!$B$15,'סיכום והשוואה'!$C$6,0)</f>
        <v>0</v>
      </c>
      <c r="C57" s="18" t="n">
        <f aca="false">IF(AND(A57&gt;=הנחות!$B$15,A57&lt;הנחות!$B$15+הנחות!$B$19),'סיכום והשוואה'!$D$4,0)+IF(AND(A57&gt;=הנחות!$B$15+36,A57&lt;הנחות!$B$15+הנחות!$B$19),'סיכום והשוואה'!$D$5,0)</f>
        <v>0</v>
      </c>
      <c r="D57" s="18" t="n">
        <f aca="false">IF(A57=1,'סיכום והשוואה'!$D$6,0)</f>
        <v>0</v>
      </c>
      <c r="E57" s="18" t="n">
        <f aca="false">B57-C57-D57</f>
        <v>0</v>
      </c>
      <c r="F57" s="18" t="n">
        <f aca="false">IF(A57-הנחות!$B$13&gt;=0,INDEX($B$8:$B$68,A57-הנחות!$B$13+1),0)</f>
        <v>0</v>
      </c>
      <c r="G57" s="18" t="n">
        <f aca="false">F57-C57-D57</f>
        <v>0</v>
      </c>
      <c r="H57" s="18" t="n">
        <f aca="false">H56+G57</f>
        <v>736660</v>
      </c>
    </row>
    <row r="58" customFormat="false" ht="15" hidden="false" customHeight="false" outlineLevel="0" collapsed="false">
      <c r="A58" s="13" t="n">
        <v>50</v>
      </c>
      <c r="B58" s="18" t="n">
        <f aca="false">IF(AND(A58&gt;=הנחות!$B$15,A58&lt;הנחות!$B$15+הנחות!$B$19),'סיכום והשוואה'!$C$4,0)+IF(AND(A58&gt;=הנחות!$B$15+36,A58&lt;הנחות!$B$15+הנחות!$B$19),'סיכום והשוואה'!$C$5,0)+IF(A58=הנחות!$B$15,'סיכום והשוואה'!$C$6,0)</f>
        <v>0</v>
      </c>
      <c r="C58" s="18" t="n">
        <f aca="false">IF(AND(A58&gt;=הנחות!$B$15,A58&lt;הנחות!$B$15+הנחות!$B$19),'סיכום והשוואה'!$D$4,0)+IF(AND(A58&gt;=הנחות!$B$15+36,A58&lt;הנחות!$B$15+הנחות!$B$19),'סיכום והשוואה'!$D$5,0)</f>
        <v>0</v>
      </c>
      <c r="D58" s="18" t="n">
        <f aca="false">IF(A58=1,'סיכום והשוואה'!$D$6,0)</f>
        <v>0</v>
      </c>
      <c r="E58" s="18" t="n">
        <f aca="false">B58-C58-D58</f>
        <v>0</v>
      </c>
      <c r="F58" s="18" t="n">
        <f aca="false">IF(A58-הנחות!$B$13&gt;=0,INDEX($B$8:$B$68,A58-הנחות!$B$13+1),0)</f>
        <v>0</v>
      </c>
      <c r="G58" s="18" t="n">
        <f aca="false">F58-C58-D58</f>
        <v>0</v>
      </c>
      <c r="H58" s="18" t="n">
        <f aca="false">H57+G58</f>
        <v>736660</v>
      </c>
    </row>
    <row r="59" customFormat="false" ht="15" hidden="false" customHeight="false" outlineLevel="0" collapsed="false">
      <c r="A59" s="13" t="n">
        <v>51</v>
      </c>
      <c r="B59" s="18" t="n">
        <f aca="false">IF(AND(A59&gt;=הנחות!$B$15,A59&lt;הנחות!$B$15+הנחות!$B$19),'סיכום והשוואה'!$C$4,0)+IF(AND(A59&gt;=הנחות!$B$15+36,A59&lt;הנחות!$B$15+הנחות!$B$19),'סיכום והשוואה'!$C$5,0)+IF(A59=הנחות!$B$15,'סיכום והשוואה'!$C$6,0)</f>
        <v>0</v>
      </c>
      <c r="C59" s="18" t="n">
        <f aca="false">IF(AND(A59&gt;=הנחות!$B$15,A59&lt;הנחות!$B$15+הנחות!$B$19),'סיכום והשוואה'!$D$4,0)+IF(AND(A59&gt;=הנחות!$B$15+36,A59&lt;הנחות!$B$15+הנחות!$B$19),'סיכום והשוואה'!$D$5,0)</f>
        <v>0</v>
      </c>
      <c r="D59" s="18" t="n">
        <f aca="false">IF(A59=1,'סיכום והשוואה'!$D$6,0)</f>
        <v>0</v>
      </c>
      <c r="E59" s="18" t="n">
        <f aca="false">B59-C59-D59</f>
        <v>0</v>
      </c>
      <c r="F59" s="18" t="n">
        <f aca="false">IF(A59-הנחות!$B$13&gt;=0,INDEX($B$8:$B$68,A59-הנחות!$B$13+1),0)</f>
        <v>0</v>
      </c>
      <c r="G59" s="18" t="n">
        <f aca="false">F59-C59-D59</f>
        <v>0</v>
      </c>
      <c r="H59" s="18" t="n">
        <f aca="false">H58+G59</f>
        <v>736660</v>
      </c>
    </row>
    <row r="60" customFormat="false" ht="15" hidden="false" customHeight="false" outlineLevel="0" collapsed="false">
      <c r="A60" s="13" t="n">
        <v>52</v>
      </c>
      <c r="B60" s="18" t="n">
        <f aca="false">IF(AND(A60&gt;=הנחות!$B$15,A60&lt;הנחות!$B$15+הנחות!$B$19),'סיכום והשוואה'!$C$4,0)+IF(AND(A60&gt;=הנחות!$B$15+36,A60&lt;הנחות!$B$15+הנחות!$B$19),'סיכום והשוואה'!$C$5,0)+IF(A60=הנחות!$B$15,'סיכום והשוואה'!$C$6,0)</f>
        <v>0</v>
      </c>
      <c r="C60" s="18" t="n">
        <f aca="false">IF(AND(A60&gt;=הנחות!$B$15,A60&lt;הנחות!$B$15+הנחות!$B$19),'סיכום והשוואה'!$D$4,0)+IF(AND(A60&gt;=הנחות!$B$15+36,A60&lt;הנחות!$B$15+הנחות!$B$19),'סיכום והשוואה'!$D$5,0)</f>
        <v>0</v>
      </c>
      <c r="D60" s="18" t="n">
        <f aca="false">IF(A60=1,'סיכום והשוואה'!$D$6,0)</f>
        <v>0</v>
      </c>
      <c r="E60" s="18" t="n">
        <f aca="false">B60-C60-D60</f>
        <v>0</v>
      </c>
      <c r="F60" s="18" t="n">
        <f aca="false">IF(A60-הנחות!$B$13&gt;=0,INDEX($B$8:$B$68,A60-הנחות!$B$13+1),0)</f>
        <v>0</v>
      </c>
      <c r="G60" s="18" t="n">
        <f aca="false">F60-C60-D60</f>
        <v>0</v>
      </c>
      <c r="H60" s="18" t="n">
        <f aca="false">H59+G60</f>
        <v>736660</v>
      </c>
    </row>
    <row r="61" customFormat="false" ht="15" hidden="false" customHeight="false" outlineLevel="0" collapsed="false">
      <c r="A61" s="13" t="n">
        <v>53</v>
      </c>
      <c r="B61" s="18" t="n">
        <f aca="false">IF(AND(A61&gt;=הנחות!$B$15,A61&lt;הנחות!$B$15+הנחות!$B$19),'סיכום והשוואה'!$C$4,0)+IF(AND(A61&gt;=הנחות!$B$15+36,A61&lt;הנחות!$B$15+הנחות!$B$19),'סיכום והשוואה'!$C$5,0)+IF(A61=הנחות!$B$15,'סיכום והשוואה'!$C$6,0)</f>
        <v>0</v>
      </c>
      <c r="C61" s="18" t="n">
        <f aca="false">IF(AND(A61&gt;=הנחות!$B$15,A61&lt;הנחות!$B$15+הנחות!$B$19),'סיכום והשוואה'!$D$4,0)+IF(AND(A61&gt;=הנחות!$B$15+36,A61&lt;הנחות!$B$15+הנחות!$B$19),'סיכום והשוואה'!$D$5,0)</f>
        <v>0</v>
      </c>
      <c r="D61" s="18" t="n">
        <f aca="false">IF(A61=1,'סיכום והשוואה'!$D$6,0)</f>
        <v>0</v>
      </c>
      <c r="E61" s="18" t="n">
        <f aca="false">B61-C61-D61</f>
        <v>0</v>
      </c>
      <c r="F61" s="18" t="n">
        <f aca="false">IF(A61-הנחות!$B$13&gt;=0,INDEX($B$8:$B$68,A61-הנחות!$B$13+1),0)</f>
        <v>0</v>
      </c>
      <c r="G61" s="18" t="n">
        <f aca="false">F61-C61-D61</f>
        <v>0</v>
      </c>
      <c r="H61" s="18" t="n">
        <f aca="false">H60+G61</f>
        <v>736660</v>
      </c>
    </row>
    <row r="62" customFormat="false" ht="15" hidden="false" customHeight="false" outlineLevel="0" collapsed="false">
      <c r="A62" s="13" t="n">
        <v>54</v>
      </c>
      <c r="B62" s="18" t="n">
        <f aca="false">IF(AND(A62&gt;=הנחות!$B$15,A62&lt;הנחות!$B$15+הנחות!$B$19),'סיכום והשוואה'!$C$4,0)+IF(AND(A62&gt;=הנחות!$B$15+36,A62&lt;הנחות!$B$15+הנחות!$B$19),'סיכום והשוואה'!$C$5,0)+IF(A62=הנחות!$B$15,'סיכום והשוואה'!$C$6,0)</f>
        <v>0</v>
      </c>
      <c r="C62" s="18" t="n">
        <f aca="false">IF(AND(A62&gt;=הנחות!$B$15,A62&lt;הנחות!$B$15+הנחות!$B$19),'סיכום והשוואה'!$D$4,0)+IF(AND(A62&gt;=הנחות!$B$15+36,A62&lt;הנחות!$B$15+הנחות!$B$19),'סיכום והשוואה'!$D$5,0)</f>
        <v>0</v>
      </c>
      <c r="D62" s="18" t="n">
        <f aca="false">IF(A62=1,'סיכום והשוואה'!$D$6,0)</f>
        <v>0</v>
      </c>
      <c r="E62" s="18" t="n">
        <f aca="false">B62-C62-D62</f>
        <v>0</v>
      </c>
      <c r="F62" s="18" t="n">
        <f aca="false">IF(A62-הנחות!$B$13&gt;=0,INDEX($B$8:$B$68,A62-הנחות!$B$13+1),0)</f>
        <v>0</v>
      </c>
      <c r="G62" s="18" t="n">
        <f aca="false">F62-C62-D62</f>
        <v>0</v>
      </c>
      <c r="H62" s="18" t="n">
        <f aca="false">H61+G62</f>
        <v>736660</v>
      </c>
    </row>
    <row r="63" customFormat="false" ht="15" hidden="false" customHeight="false" outlineLevel="0" collapsed="false">
      <c r="A63" s="13" t="n">
        <v>55</v>
      </c>
      <c r="B63" s="18" t="n">
        <f aca="false">IF(AND(A63&gt;=הנחות!$B$15,A63&lt;הנחות!$B$15+הנחות!$B$19),'סיכום והשוואה'!$C$4,0)+IF(AND(A63&gt;=הנחות!$B$15+36,A63&lt;הנחות!$B$15+הנחות!$B$19),'סיכום והשוואה'!$C$5,0)+IF(A63=הנחות!$B$15,'סיכום והשוואה'!$C$6,0)</f>
        <v>0</v>
      </c>
      <c r="C63" s="18" t="n">
        <f aca="false">IF(AND(A63&gt;=הנחות!$B$15,A63&lt;הנחות!$B$15+הנחות!$B$19),'סיכום והשוואה'!$D$4,0)+IF(AND(A63&gt;=הנחות!$B$15+36,A63&lt;הנחות!$B$15+הנחות!$B$19),'סיכום והשוואה'!$D$5,0)</f>
        <v>0</v>
      </c>
      <c r="D63" s="18" t="n">
        <f aca="false">IF(A63=1,'סיכום והשוואה'!$D$6,0)</f>
        <v>0</v>
      </c>
      <c r="E63" s="18" t="n">
        <f aca="false">B63-C63-D63</f>
        <v>0</v>
      </c>
      <c r="F63" s="18" t="n">
        <f aca="false">IF(A63-הנחות!$B$13&gt;=0,INDEX($B$8:$B$68,A63-הנחות!$B$13+1),0)</f>
        <v>0</v>
      </c>
      <c r="G63" s="18" t="n">
        <f aca="false">F63-C63-D63</f>
        <v>0</v>
      </c>
      <c r="H63" s="18" t="n">
        <f aca="false">H62+G63</f>
        <v>736660</v>
      </c>
    </row>
    <row r="64" customFormat="false" ht="15" hidden="false" customHeight="false" outlineLevel="0" collapsed="false">
      <c r="A64" s="13" t="n">
        <v>56</v>
      </c>
      <c r="B64" s="18" t="n">
        <f aca="false">IF(AND(A64&gt;=הנחות!$B$15,A64&lt;הנחות!$B$15+הנחות!$B$19),'סיכום והשוואה'!$C$4,0)+IF(AND(A64&gt;=הנחות!$B$15+36,A64&lt;הנחות!$B$15+הנחות!$B$19),'סיכום והשוואה'!$C$5,0)+IF(A64=הנחות!$B$15,'סיכום והשוואה'!$C$6,0)</f>
        <v>0</v>
      </c>
      <c r="C64" s="18" t="n">
        <f aca="false">IF(AND(A64&gt;=הנחות!$B$15,A64&lt;הנחות!$B$15+הנחות!$B$19),'סיכום והשוואה'!$D$4,0)+IF(AND(A64&gt;=הנחות!$B$15+36,A64&lt;הנחות!$B$15+הנחות!$B$19),'סיכום והשוואה'!$D$5,0)</f>
        <v>0</v>
      </c>
      <c r="D64" s="18" t="n">
        <f aca="false">IF(A64=1,'סיכום והשוואה'!$D$6,0)</f>
        <v>0</v>
      </c>
      <c r="E64" s="18" t="n">
        <f aca="false">B64-C64-D64</f>
        <v>0</v>
      </c>
      <c r="F64" s="18" t="n">
        <f aca="false">IF(A64-הנחות!$B$13&gt;=0,INDEX($B$8:$B$68,A64-הנחות!$B$13+1),0)</f>
        <v>0</v>
      </c>
      <c r="G64" s="18" t="n">
        <f aca="false">F64-C64-D64</f>
        <v>0</v>
      </c>
      <c r="H64" s="18" t="n">
        <f aca="false">H63+G64</f>
        <v>736660</v>
      </c>
    </row>
    <row r="65" customFormat="false" ht="15" hidden="false" customHeight="false" outlineLevel="0" collapsed="false">
      <c r="A65" s="13" t="n">
        <v>57</v>
      </c>
      <c r="B65" s="18" t="n">
        <f aca="false">IF(AND(A65&gt;=הנחות!$B$15,A65&lt;הנחות!$B$15+הנחות!$B$19),'סיכום והשוואה'!$C$4,0)+IF(AND(A65&gt;=הנחות!$B$15+36,A65&lt;הנחות!$B$15+הנחות!$B$19),'סיכום והשוואה'!$C$5,0)+IF(A65=הנחות!$B$15,'סיכום והשוואה'!$C$6,0)</f>
        <v>0</v>
      </c>
      <c r="C65" s="18" t="n">
        <f aca="false">IF(AND(A65&gt;=הנחות!$B$15,A65&lt;הנחות!$B$15+הנחות!$B$19),'סיכום והשוואה'!$D$4,0)+IF(AND(A65&gt;=הנחות!$B$15+36,A65&lt;הנחות!$B$15+הנחות!$B$19),'סיכום והשוואה'!$D$5,0)</f>
        <v>0</v>
      </c>
      <c r="D65" s="18" t="n">
        <f aca="false">IF(A65=1,'סיכום והשוואה'!$D$6,0)</f>
        <v>0</v>
      </c>
      <c r="E65" s="18" t="n">
        <f aca="false">B65-C65-D65</f>
        <v>0</v>
      </c>
      <c r="F65" s="18" t="n">
        <f aca="false">IF(A65-הנחות!$B$13&gt;=0,INDEX($B$8:$B$68,A65-הנחות!$B$13+1),0)</f>
        <v>0</v>
      </c>
      <c r="G65" s="18" t="n">
        <f aca="false">F65-C65-D65</f>
        <v>0</v>
      </c>
      <c r="H65" s="18" t="n">
        <f aca="false">H64+G65</f>
        <v>736660</v>
      </c>
    </row>
    <row r="66" customFormat="false" ht="15" hidden="false" customHeight="false" outlineLevel="0" collapsed="false">
      <c r="A66" s="13" t="n">
        <v>58</v>
      </c>
      <c r="B66" s="18" t="n">
        <f aca="false">IF(AND(A66&gt;=הנחות!$B$15,A66&lt;הנחות!$B$15+הנחות!$B$19),'סיכום והשוואה'!$C$4,0)+IF(AND(A66&gt;=הנחות!$B$15+36,A66&lt;הנחות!$B$15+הנחות!$B$19),'סיכום והשוואה'!$C$5,0)+IF(A66=הנחות!$B$15,'סיכום והשוואה'!$C$6,0)</f>
        <v>0</v>
      </c>
      <c r="C66" s="18" t="n">
        <f aca="false">IF(AND(A66&gt;=הנחות!$B$15,A66&lt;הנחות!$B$15+הנחות!$B$19),'סיכום והשוואה'!$D$4,0)+IF(AND(A66&gt;=הנחות!$B$15+36,A66&lt;הנחות!$B$15+הנחות!$B$19),'סיכום והשוואה'!$D$5,0)</f>
        <v>0</v>
      </c>
      <c r="D66" s="18" t="n">
        <f aca="false">IF(A66=1,'סיכום והשוואה'!$D$6,0)</f>
        <v>0</v>
      </c>
      <c r="E66" s="18" t="n">
        <f aca="false">B66-C66-D66</f>
        <v>0</v>
      </c>
      <c r="F66" s="18" t="n">
        <f aca="false">IF(A66-הנחות!$B$13&gt;=0,INDEX($B$8:$B$68,A66-הנחות!$B$13+1),0)</f>
        <v>0</v>
      </c>
      <c r="G66" s="18" t="n">
        <f aca="false">F66-C66-D66</f>
        <v>0</v>
      </c>
      <c r="H66" s="18" t="n">
        <f aca="false">H65+G66</f>
        <v>736660</v>
      </c>
    </row>
    <row r="67" customFormat="false" ht="15" hidden="false" customHeight="false" outlineLevel="0" collapsed="false">
      <c r="A67" s="13" t="n">
        <v>59</v>
      </c>
      <c r="B67" s="18" t="n">
        <f aca="false">IF(AND(A67&gt;=הנחות!$B$15,A67&lt;הנחות!$B$15+הנחות!$B$19),'סיכום והשוואה'!$C$4,0)+IF(AND(A67&gt;=הנחות!$B$15+36,A67&lt;הנחות!$B$15+הנחות!$B$19),'סיכום והשוואה'!$C$5,0)+IF(A67=הנחות!$B$15,'סיכום והשוואה'!$C$6,0)</f>
        <v>0</v>
      </c>
      <c r="C67" s="18" t="n">
        <f aca="false">IF(AND(A67&gt;=הנחות!$B$15,A67&lt;הנחות!$B$15+הנחות!$B$19),'סיכום והשוואה'!$D$4,0)+IF(AND(A67&gt;=הנחות!$B$15+36,A67&lt;הנחות!$B$15+הנחות!$B$19),'סיכום והשוואה'!$D$5,0)</f>
        <v>0</v>
      </c>
      <c r="D67" s="18" t="n">
        <f aca="false">IF(A67=1,'סיכום והשוואה'!$D$6,0)</f>
        <v>0</v>
      </c>
      <c r="E67" s="18" t="n">
        <f aca="false">B67-C67-D67</f>
        <v>0</v>
      </c>
      <c r="F67" s="18" t="n">
        <f aca="false">IF(A67-הנחות!$B$13&gt;=0,INDEX($B$8:$B$68,A67-הנחות!$B$13+1),0)</f>
        <v>0</v>
      </c>
      <c r="G67" s="18" t="n">
        <f aca="false">F67-C67-D67</f>
        <v>0</v>
      </c>
      <c r="H67" s="18" t="n">
        <f aca="false">H66+G67</f>
        <v>736660</v>
      </c>
    </row>
    <row r="68" customFormat="false" ht="15" hidden="false" customHeight="false" outlineLevel="0" collapsed="false">
      <c r="A68" s="13" t="n">
        <v>60</v>
      </c>
      <c r="B68" s="18" t="n">
        <f aca="false">IF(AND(A68&gt;=הנחות!$B$15,A68&lt;הנחות!$B$15+הנחות!$B$19),'סיכום והשוואה'!$C$4,0)+IF(AND(A68&gt;=הנחות!$B$15+36,A68&lt;הנחות!$B$15+הנחות!$B$19),'סיכום והשוואה'!$C$5,0)+IF(A68=הנחות!$B$15,'סיכום והשוואה'!$C$6,0)</f>
        <v>0</v>
      </c>
      <c r="C68" s="18" t="n">
        <f aca="false">IF(AND(A68&gt;=הנחות!$B$15,A68&lt;הנחות!$B$15+הנחות!$B$19),'סיכום והשוואה'!$D$4,0)+IF(AND(A68&gt;=הנחות!$B$15+36,A68&lt;הנחות!$B$15+הנחות!$B$19),'סיכום והשוואה'!$D$5,0)</f>
        <v>0</v>
      </c>
      <c r="D68" s="18" t="n">
        <f aca="false">IF(A68=1,'סיכום והשוואה'!$D$6,0)</f>
        <v>0</v>
      </c>
      <c r="E68" s="18" t="n">
        <f aca="false">B68-C68-D68</f>
        <v>0</v>
      </c>
      <c r="F68" s="18" t="n">
        <f aca="false">IF(A68-הנחות!$B$13&gt;=0,INDEX($B$8:$B$68,A68-הנחות!$B$13+1),0)</f>
        <v>0</v>
      </c>
      <c r="G68" s="18" t="n">
        <f aca="false">F68-C68-D68</f>
        <v>0</v>
      </c>
      <c r="H68" s="18" t="n">
        <f aca="false">H67+G68</f>
        <v>736660</v>
      </c>
    </row>
  </sheetData>
  <mergeCells count="4">
    <mergeCell ref="A2:B2"/>
    <mergeCell ref="A3:B3"/>
    <mergeCell ref="A4:B4"/>
    <mergeCell ref="A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5" t="s">
        <v>130</v>
      </c>
    </row>
    <row r="3" customFormat="false" ht="48" hidden="false" customHeight="true" outlineLevel="0" collapsed="false">
      <c r="A3" s="6" t="s">
        <v>39</v>
      </c>
      <c r="B3" s="6" t="s">
        <v>131</v>
      </c>
      <c r="C3" s="6" t="s">
        <v>132</v>
      </c>
      <c r="D3" s="6" t="s">
        <v>133</v>
      </c>
    </row>
    <row r="4" customFormat="false" ht="31.5" hidden="false" customHeight="true" outlineLevel="0" collapsed="false">
      <c r="A4" s="12" t="n">
        <v>1</v>
      </c>
      <c r="B4" s="12" t="s">
        <v>134</v>
      </c>
      <c r="C4" s="7" t="s">
        <v>135</v>
      </c>
      <c r="D4" s="7" t="s">
        <v>136</v>
      </c>
    </row>
    <row r="5" customFormat="false" ht="31.5" hidden="false" customHeight="true" outlineLevel="0" collapsed="false">
      <c r="A5" s="12" t="n">
        <v>2</v>
      </c>
      <c r="B5" s="12" t="s">
        <v>116</v>
      </c>
      <c r="C5" s="7" t="s">
        <v>137</v>
      </c>
      <c r="D5" s="7" t="s">
        <v>138</v>
      </c>
    </row>
    <row r="6" customFormat="false" ht="31.5" hidden="false" customHeight="true" outlineLevel="0" collapsed="false">
      <c r="A6" s="12" t="n">
        <v>3</v>
      </c>
      <c r="B6" s="12" t="s">
        <v>139</v>
      </c>
      <c r="C6" s="7" t="s">
        <v>140</v>
      </c>
      <c r="D6" s="7" t="s">
        <v>141</v>
      </c>
    </row>
    <row r="7" customFormat="false" ht="31.5" hidden="false" customHeight="true" outlineLevel="0" collapsed="false">
      <c r="A7" s="12" t="n">
        <v>4</v>
      </c>
      <c r="B7" s="12" t="s">
        <v>142</v>
      </c>
      <c r="C7" s="7" t="s">
        <v>143</v>
      </c>
      <c r="D7" s="7" t="s">
        <v>144</v>
      </c>
    </row>
    <row r="8" customFormat="false" ht="31.5" hidden="false" customHeight="true" outlineLevel="0" collapsed="false">
      <c r="A8" s="12" t="n">
        <v>5</v>
      </c>
      <c r="B8" s="12" t="s">
        <v>145</v>
      </c>
      <c r="C8" s="7" t="s">
        <v>146</v>
      </c>
      <c r="D8" s="7" t="s">
        <v>147</v>
      </c>
    </row>
    <row r="9" customFormat="false" ht="31.5" hidden="false" customHeight="true" outlineLevel="0" collapsed="false">
      <c r="A9" s="12" t="n">
        <v>6</v>
      </c>
      <c r="B9" s="12" t="s">
        <v>148</v>
      </c>
      <c r="C9" s="7" t="s">
        <v>149</v>
      </c>
      <c r="D9" s="7" t="s">
        <v>150</v>
      </c>
    </row>
    <row r="10" customFormat="false" ht="31.5" hidden="false" customHeight="true" outlineLevel="0" collapsed="false">
      <c r="A10" s="12" t="n">
        <v>7</v>
      </c>
      <c r="B10" s="12" t="s">
        <v>151</v>
      </c>
      <c r="C10" s="7" t="s">
        <v>152</v>
      </c>
      <c r="D10" s="7" t="s">
        <v>153</v>
      </c>
    </row>
    <row r="11" customFormat="false" ht="31.5" hidden="false" customHeight="true" outlineLevel="0" collapsed="false">
      <c r="A11" s="12" t="n">
        <v>8</v>
      </c>
      <c r="B11" s="12" t="s">
        <v>154</v>
      </c>
      <c r="C11" s="7" t="s">
        <v>155</v>
      </c>
      <c r="D11" s="7" t="s">
        <v>156</v>
      </c>
    </row>
    <row r="12" customFormat="false" ht="31.5" hidden="false" customHeight="true" outlineLevel="0" collapsed="false">
      <c r="A12" s="12" t="n">
        <v>9</v>
      </c>
      <c r="B12" s="12" t="s">
        <v>157</v>
      </c>
      <c r="C12" s="7" t="s">
        <v>158</v>
      </c>
      <c r="D12" s="7"/>
    </row>
    <row r="13" customFormat="false" ht="31.5" hidden="false" customHeight="true" outlineLevel="0" collapsed="false">
      <c r="A13" s="12" t="n">
        <v>10</v>
      </c>
      <c r="B13" s="12" t="s">
        <v>159</v>
      </c>
      <c r="C13" s="7" t="s">
        <v>160</v>
      </c>
      <c r="D13" s="7" t="s">
        <v>161</v>
      </c>
    </row>
    <row r="14" customFormat="false" ht="31.5" hidden="false" customHeight="true" outlineLevel="0" collapsed="false">
      <c r="A14" s="12" t="n">
        <v>11</v>
      </c>
      <c r="B14" s="12" t="s">
        <v>162</v>
      </c>
      <c r="C14" s="7" t="s">
        <v>163</v>
      </c>
      <c r="D14" s="7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2026-10-14T17:21:16Z</dcterms:created>
  <dc:creator>openpyxl</dc:creator>
  <dc:description/>
  <dc:language>en-US</dc:language>
  <cp:lastModifiedBy/>
  <dcterms:modified xsi:type="dcterms:W3CDTF">2026-10-14T17:21:16Z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