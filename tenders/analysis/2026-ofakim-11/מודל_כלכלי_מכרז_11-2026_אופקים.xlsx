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מקרא" sheetId="1" state="visible" r:id="rId3"/>
    <sheet name="הנחות" sheetId="2" state="visible" r:id="rId4"/>
    <sheet name="סעיפי מחיר" sheetId="3" state="visible" r:id="rId5"/>
    <sheet name="תוספות" sheetId="4" state="visible" r:id="rId6"/>
    <sheet name="ניקוד ותחרות" sheetId="5" state="visible" r:id="rId7"/>
    <sheet name="תזרים" sheetId="6" state="visible" r:id="rId8"/>
    <sheet name="מדדי שוק" sheetId="7" state="visible" r:id="rId9"/>
    <sheet name="החלטת הגשה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6" authorId="0">
      <text>
        <r>
          <rPr>
            <sz val="10"/>
            <rFont val="FreeSans"/>
            <family val="2"/>
          </rPr>
          <t xml:space="preserve">כמות לא ידועה – הנחה. ראו שאלת הבהרה </t>
        </r>
        <r>
          <rPr>
            <sz val="10"/>
            <rFont val="Arial"/>
            <family val="2"/>
          </rPr>
          <t xml:space="preserve">10.</t>
        </r>
      </text>
    </comment>
    <comment ref="G7" authorId="0">
      <text>
        <r>
          <rPr>
            <sz val="10"/>
            <rFont val="FreeSans"/>
            <family val="2"/>
          </rPr>
          <t xml:space="preserve">כמות לא ידועה – הנחה. ראו שאלת הבהרה </t>
        </r>
        <r>
          <rPr>
            <sz val="10"/>
            <rFont val="Arial"/>
            <family val="2"/>
          </rPr>
          <t xml:space="preserve">10.</t>
        </r>
      </text>
    </comment>
    <comment ref="T5" authorId="0">
      <text>
        <r>
          <rPr>
            <sz val="10"/>
            <rFont val="FreeSans"/>
            <family val="2"/>
          </rPr>
          <t xml:space="preserve">כמה שקלים (על פני כל החוזה) עולה להוסיף נקודת ניקוד אחת בסעיף הזה, בהינתן ההצעה הנוכחית. נמוך = זול לקנות ניקוד</t>
        </r>
        <r>
          <rPr>
            <sz val="10"/>
            <rFont val="Arial"/>
            <family val="2"/>
          </rPr>
          <t xml:space="preserve">.</t>
        </r>
      </text>
    </comment>
    <comment ref="T6" authorId="0">
      <text>
        <r>
          <rPr>
            <sz val="10"/>
            <rFont val="FreeSans"/>
            <family val="2"/>
          </rPr>
          <t xml:space="preserve">כמה שקלים (על פני כל החוזה) עולה להוסיף נקודת ניקוד אחת בסעיף הזה, בהינתן ההצעה הנוכחית. נמוך = זול לקנות ניקוד</t>
        </r>
        <r>
          <rPr>
            <sz val="10"/>
            <rFont val="Arial"/>
            <family val="2"/>
          </rPr>
          <t xml:space="preserve">.</t>
        </r>
      </text>
    </comment>
    <comment ref="T7" authorId="0">
      <text>
        <r>
          <rPr>
            <sz val="10"/>
            <rFont val="FreeSans"/>
            <family val="2"/>
          </rPr>
          <t xml:space="preserve">כמה שקלים (על פני כל החוזה) עולה להוסיף נקודת ניקוד אחת בסעיף הזה, בהינתן ההצעה הנוכחית. נמוך = זול לקנות ניקוד</t>
        </r>
        <r>
          <rPr>
            <sz val="10"/>
            <rFont val="Arial"/>
            <family val="2"/>
          </rPr>
          <t xml:space="preserve">.</t>
        </r>
      </text>
    </comment>
    <comment ref="T8" authorId="0">
      <text>
        <r>
          <rPr>
            <sz val="10"/>
            <rFont val="FreeSans"/>
            <family val="2"/>
          </rPr>
          <t xml:space="preserve">כמה שקלים (על פני כל החוזה) עולה להוסיף נקודת ניקוד אחת בסעיף הזה, בהינתן ההצעה הנוכחית. נמוך = זול לקנות ניקוד</t>
        </r>
        <r>
          <rPr>
            <sz val="10"/>
            <rFont val="Arial"/>
            <family val="2"/>
          </rPr>
          <t xml:space="preserve">.</t>
        </r>
      </text>
    </comment>
    <comment ref="T9" authorId="0">
      <text>
        <r>
          <rPr>
            <sz val="10"/>
            <rFont val="FreeSans"/>
            <family val="2"/>
          </rPr>
          <t xml:space="preserve">כמה שקלים (על פני כל החוזה) עולה להוסיף נקודת ניקוד אחת בסעיף הזה, בהינתן ההצעה הנוכחית. נמוך = זול לקנות ניקוד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FreeSans"/>
            <family val="2"/>
          </rPr>
          <t xml:space="preserve">ברירת מחדל: המחיר המרבי (אין השפעה על הניקוד). אפשר לדרוס בערך ידני</t>
        </r>
        <r>
          <rPr>
            <sz val="10"/>
            <rFont val="Arial"/>
            <family val="2"/>
          </rPr>
          <t xml:space="preserve">.</t>
        </r>
      </text>
    </comment>
    <comment ref="E6" authorId="0">
      <text>
        <r>
          <rPr>
            <sz val="10"/>
            <rFont val="FreeSans"/>
            <family val="2"/>
          </rPr>
          <t xml:space="preserve">ברירת מחדל: המחיר המרבי (אין השפעה על הניקוד). אפשר לדרוס בערך ידני</t>
        </r>
        <r>
          <rPr>
            <sz val="10"/>
            <rFont val="Arial"/>
            <family val="2"/>
          </rPr>
          <t xml:space="preserve">.</t>
        </r>
      </text>
    </comment>
    <comment ref="E7" authorId="0">
      <text>
        <r>
          <rPr>
            <sz val="10"/>
            <rFont val="FreeSans"/>
            <family val="2"/>
          </rPr>
          <t xml:space="preserve">ברירת מחדל: המחיר המרבי (אין השפעה על הניקוד). אפשר לדרוס בערך ידני</t>
        </r>
        <r>
          <rPr>
            <sz val="10"/>
            <rFont val="Arial"/>
            <family val="2"/>
          </rPr>
          <t xml:space="preserve">.</t>
        </r>
      </text>
    </comment>
    <comment ref="E8" authorId="0">
      <text>
        <r>
          <rPr>
            <sz val="10"/>
            <rFont val="FreeSans"/>
            <family val="2"/>
          </rPr>
          <t xml:space="preserve">ברירת מחדל: המחיר המרבי (אין השפעה על הניקוד). אפשר לדרוס בערך ידני</t>
        </r>
        <r>
          <rPr>
            <sz val="10"/>
            <rFont val="Arial"/>
            <family val="2"/>
          </rPr>
          <t xml:space="preserve">.</t>
        </r>
      </text>
    </comment>
    <comment ref="E9" authorId="0">
      <text>
        <r>
          <rPr>
            <sz val="10"/>
            <rFont val="FreeSans"/>
            <family val="2"/>
          </rPr>
          <t xml:space="preserve">ברירת מחדל: המחיר המרבי (אין השפעה על הניקוד). אפשר לדרוס בערך ידני</t>
        </r>
        <r>
          <rPr>
            <sz val="10"/>
            <rFont val="Arial"/>
            <family val="2"/>
          </rPr>
          <t xml:space="preserve">.</t>
        </r>
      </text>
    </comment>
    <comment ref="E10" authorId="0">
      <text>
        <r>
          <rPr>
            <sz val="10"/>
            <rFont val="FreeSans"/>
            <family val="2"/>
          </rPr>
          <t xml:space="preserve">ברירת מחדל: המחיר המרבי (אין השפעה על הניקוד). אפשר לדרוס בערך ידני</t>
        </r>
        <r>
          <rPr>
            <sz val="10"/>
            <rFont val="Arial"/>
            <family val="2"/>
          </rPr>
          <t xml:space="preserve">.</t>
        </r>
      </text>
    </comment>
    <comment ref="E11" authorId="0">
      <text>
        <r>
          <rPr>
            <sz val="10"/>
            <rFont val="FreeSans"/>
            <family val="2"/>
          </rPr>
          <t xml:space="preserve">ברירת מחדל: המחיר המרבי (אין השפעה על הניקוד). אפשר לדרוס בערך ידני</t>
        </r>
        <r>
          <rPr>
            <sz val="10"/>
            <rFont val="Arial"/>
            <family val="2"/>
          </rPr>
          <t xml:space="preserve">.</t>
        </r>
      </text>
    </comment>
    <comment ref="E12" authorId="0">
      <text>
        <r>
          <rPr>
            <sz val="10"/>
            <rFont val="FreeSans"/>
            <family val="2"/>
          </rPr>
          <t xml:space="preserve">ברירת מחדל: המחיר המרבי (אין השפעה על הניקוד). אפשר לדרוס בערך ידני</t>
        </r>
        <r>
          <rPr>
            <sz val="10"/>
            <rFont val="Arial"/>
            <family val="2"/>
          </rPr>
          <t xml:space="preserve">.</t>
        </r>
      </text>
    </comment>
    <comment ref="E13" authorId="0">
      <text>
        <r>
          <rPr>
            <sz val="10"/>
            <rFont val="FreeSans"/>
            <family val="2"/>
          </rPr>
          <t xml:space="preserve">ברירת מחדל: המחיר המרבי (אין השפעה על הניקוד). אפשר לדרוס בערך ידני</t>
        </r>
        <r>
          <rPr>
            <sz val="10"/>
            <rFont val="Arial"/>
            <family val="2"/>
          </rPr>
          <t xml:space="preserve">.</t>
        </r>
      </text>
    </comment>
    <comment ref="E14" authorId="0">
      <text>
        <r>
          <rPr>
            <sz val="10"/>
            <rFont val="FreeSans"/>
            <family val="2"/>
          </rPr>
          <t xml:space="preserve">ברירת מחדל: המחיר המרבי (אין השפעה על הניקוד). אפשר לדרוס בערך ידני</t>
        </r>
        <r>
          <rPr>
            <sz val="10"/>
            <rFont val="Arial"/>
            <family val="2"/>
          </rPr>
          <t xml:space="preserve">.</t>
        </r>
      </text>
    </comment>
    <comment ref="F5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F6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F7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F8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F9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F10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F11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F12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F13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F14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G5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G6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G7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G8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G9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G10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G11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G12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G13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  <comment ref="G14" authorId="0">
      <text>
        <r>
          <rPr>
            <sz val="10"/>
            <rFont val="FreeSans"/>
            <family val="2"/>
          </rPr>
          <t xml:space="preserve">הערכה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FreeSans"/>
            <family val="2"/>
          </rPr>
          <t xml:space="preserve">הערכה סובייקטיבית</t>
        </r>
        <r>
          <rPr>
            <sz val="10"/>
            <rFont val="Arial"/>
            <family val="2"/>
          </rPr>
          <t xml:space="preserve">.</t>
        </r>
      </text>
    </comment>
    <comment ref="C5" authorId="0">
      <text>
        <r>
          <rPr>
            <sz val="10"/>
            <rFont val="FreeSans"/>
            <family val="2"/>
          </rPr>
          <t xml:space="preserve">הערכה סובייקטיבית</t>
        </r>
        <r>
          <rPr>
            <sz val="10"/>
            <rFont val="Arial"/>
            <family val="2"/>
          </rPr>
          <t xml:space="preserve">.</t>
        </r>
      </text>
    </comment>
    <comment ref="C6" authorId="0">
      <text>
        <r>
          <rPr>
            <sz val="10"/>
            <rFont val="FreeSans"/>
            <family val="2"/>
          </rPr>
          <t xml:space="preserve">הערכה סובייקטיבית</t>
        </r>
        <r>
          <rPr>
            <sz val="10"/>
            <rFont val="Arial"/>
            <family val="2"/>
          </rPr>
          <t xml:space="preserve">.</t>
        </r>
      </text>
    </comment>
    <comment ref="C7" authorId="0">
      <text>
        <r>
          <rPr>
            <sz val="10"/>
            <rFont val="FreeSans"/>
            <family val="2"/>
          </rPr>
          <t xml:space="preserve">הערכה סובייקטיבית</t>
        </r>
        <r>
          <rPr>
            <sz val="10"/>
            <rFont val="Arial"/>
            <family val="2"/>
          </rPr>
          <t xml:space="preserve">.</t>
        </r>
      </text>
    </comment>
    <comment ref="D4" authorId="0">
      <text>
        <r>
          <rPr>
            <sz val="10"/>
            <rFont val="FreeSans"/>
            <family val="2"/>
          </rPr>
          <t xml:space="preserve">הערכה סובייקטיבית</t>
        </r>
        <r>
          <rPr>
            <sz val="10"/>
            <rFont val="Arial"/>
            <family val="2"/>
          </rPr>
          <t xml:space="preserve">.</t>
        </r>
      </text>
    </comment>
    <comment ref="D5" authorId="0">
      <text>
        <r>
          <rPr>
            <sz val="10"/>
            <rFont val="FreeSans"/>
            <family val="2"/>
          </rPr>
          <t xml:space="preserve">הערכה סובייקטיבית</t>
        </r>
        <r>
          <rPr>
            <sz val="10"/>
            <rFont val="Arial"/>
            <family val="2"/>
          </rPr>
          <t xml:space="preserve">.</t>
        </r>
      </text>
    </comment>
    <comment ref="D6" authorId="0">
      <text>
        <r>
          <rPr>
            <sz val="10"/>
            <rFont val="FreeSans"/>
            <family val="2"/>
          </rPr>
          <t xml:space="preserve">הערכה סובייקטיבית</t>
        </r>
        <r>
          <rPr>
            <sz val="10"/>
            <rFont val="Arial"/>
            <family val="2"/>
          </rPr>
          <t xml:space="preserve">.</t>
        </r>
      </text>
    </comment>
    <comment ref="D7" authorId="0">
      <text>
        <r>
          <rPr>
            <sz val="10"/>
            <rFont val="FreeSans"/>
            <family val="2"/>
          </rPr>
          <t xml:space="preserve">הערכה סובייקטיבית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<sst xmlns="http://schemas.openxmlformats.org/spreadsheetml/2006/main" count="235" uniqueCount="219">
  <si>
    <t xml:space="preserve">מודל כלכלי למכרזים – מכרז 11/2026 עיריית אופקים (מרכזיית טלפוניה)</t>
  </si>
  <si>
    <t xml:space="preserve">מטרה: לקבוע הצעת מחיר, לבדוק כדאיות ולהשוות מול מתחרים. המודל בנוי לשימוש חוזר – למכרז הבא מעדכנים את הסעיפים, הטווחים, המשקלים וההנחות.</t>
  </si>
  <si>
    <t xml:space="preserve">מוסכמות צבע:</t>
  </si>
  <si>
    <t xml:space="preserve">טקסט כחול = נתון קלט שמזינים ידנית (מחירים, כמויות, הצעות מתחרים).</t>
  </si>
  <si>
    <t xml:space="preserve">רקע צהוב = הנחת מפתח שצריך לאמת מול נתוני HOT בפועל (עלויות, הסתברויות).</t>
  </si>
  <si>
    <t xml:space="preserve">טקסט שחור = נוסחה. אין לשנות.</t>
  </si>
  <si>
    <t xml:space="preserve">טקסט ירוק = קישור מגיליון אחר.</t>
  </si>
  <si>
    <t xml:space="preserve">סדר עבודה מומלץ:</t>
  </si>
  <si>
    <t xml:space="preserve">1. הנחות – לעדכן עלויות אמיתיות (ציוד, פלטפורמה, תמיכה, דקות). ערכי ברירת המחדל הם הערכות בלבד.</t>
  </si>
  <si>
    <t xml:space="preserve">2. סעיפי מחיר – להזין את ההצעה שלנו והערכת הצעות המתחרים. עמודת "₪ לנקודה" מראה איפה הכי זול לקנות ניקוד.</t>
  </si>
  <si>
    <t xml:space="preserve">3. תוספות – סעיפים שאינם בשקלול: אין להם השפעה על הניקוד, ולכן ברירת המחדל היא המחיר המרבי.</t>
  </si>
  <si>
    <t xml:space="preserve">4. ניקוד ותחרות – להזין הערכת ציוני איכות. רואים מי מוביל ובכמה.</t>
  </si>
  <si>
    <t xml:space="preserve">5. תזרים – רווח ל-36 חודשים, לכל התקופה, ערך נוכחי (NPV), ותרחיש סיום מוקדם.</t>
  </si>
  <si>
    <t xml:space="preserve">6. החלטת הגשה – כרטיס ניקוד Go / No-Go.</t>
  </si>
  <si>
    <t xml:space="preserve">הנוסחה לניקוד מחיר במכרז: ניקוד סעיף = משקל × (ההצעה הנמוכה בסעיף ÷ ההצעה הנבחנת); סכום הסעיפים × 0.7.</t>
  </si>
  <si>
    <t xml:space="preserve">מחיר מחוץ לטווח מינימום–מקסימום פוסל את ההצעה (נספח ה', הנחיה 2). המודל מסמן זאת באדום.</t>
  </si>
  <si>
    <t xml:space="preserve">הנחות עלות ותפעול</t>
  </si>
  <si>
    <t xml:space="preserve">הנחה</t>
  </si>
  <si>
    <t xml:space="preserve">ערך</t>
  </si>
  <si>
    <t xml:space="preserve">הסבר / מקור</t>
  </si>
  <si>
    <t xml:space="preserve">עלות ציוד ורישוי מרכזייה מקומית + Call Center מקומי (חד-פעמי)</t>
  </si>
  <si>
    <t xml:space="preserve">הערכה. לעדכן לפי הצעת יצרן/מפיץ.</t>
  </si>
  <si>
    <t xml:space="preserve">עלות הקמה, התקנה, הגדרות, ממשקים והדרכה (חד-פעמי)</t>
  </si>
  <si>
    <t xml:space="preserve">הערכה: כ-100 שעות עבודה. כולל ממשק CRM, AD ודוא"ל.</t>
  </si>
  <si>
    <t xml:space="preserve">עלות הכנת הצעה, הדגמה ומסמכים (חד-פעמי, גם אם מפסידים)</t>
  </si>
  <si>
    <t xml:space="preserve">הערכה: רכישת מסמכים 500 ₪ + זמן צוות + הדגמה של 120 דקות.</t>
  </si>
  <si>
    <t xml:space="preserve">מספר שלוחות</t>
  </si>
  <si>
    <t xml:space="preserve">מפרט סעיף 2.3 ו-3.12.</t>
  </si>
  <si>
    <t xml:space="preserve">עלות פלטפורמת ענן לשלוחה לחודש (עלות שולית)</t>
  </si>
  <si>
    <t xml:space="preserve">הערכה לעלות שולית פנימית. מחיר שוק לשלוחה הוא 20–80 ₪ (ראה מדדי שוק).</t>
  </si>
  <si>
    <t xml:space="preserve">עלות רישוי Call Center לחודש (30 עמדות, שני המוקדים)</t>
  </si>
  <si>
    <t xml:space="preserve">הערכה. מחיר שוק לעמדת מוקד: 69–100 ₪ לחודש.</t>
  </si>
  <si>
    <t xml:space="preserve">עלות תמיכה, תחזוקה ו-SLA לחודש (כוח אדם)</t>
  </si>
  <si>
    <t xml:space="preserve">הערכה: מוקד, טכנאי, ניהול שינויים ללא תשלום (מפרט 6.4).</t>
  </si>
  <si>
    <t xml:space="preserve">דקות שיחה בחודש</t>
  </si>
  <si>
    <t xml:space="preserve">מפרט סעיף 2.6.</t>
  </si>
  <si>
    <t xml:space="preserve">עלות ממוצעת לדקה יוצאת</t>
  </si>
  <si>
    <t xml:space="preserve">הערכה משוקללת נייח/סלולר. דמי קישוריות לסלולר הם כ-6 אג' לדקה (לא מאומת לשנת 2026). אם רוב הדקות On-Net – נמוך יותר.</t>
  </si>
  <si>
    <t xml:space="preserve">ערבויות, ביטוח (כולל הרחבת סייבר) ו-ISO – לשנה</t>
  </si>
  <si>
    <t xml:space="preserve">הערכה: עמלת ערבות ביצוע 20,000 ₪ + תוספת פרמיה.</t>
  </si>
  <si>
    <t xml:space="preserve">קנסות SLA צפויים לשנה</t>
  </si>
  <si>
    <t xml:space="preserve">הערכה. טבלת הקנסות במפרט עמ' 18.</t>
  </si>
  <si>
    <t xml:space="preserve">עלות טלפון בסיסי (8.1)</t>
  </si>
  <si>
    <t xml:space="preserve">הערכה. מחיר קמעונאי בבריטניה ל-T33G: כ-£64 לפני מע"מ.</t>
  </si>
  <si>
    <t xml:space="preserve">עלות טלפון מתקדם (8.2)</t>
  </si>
  <si>
    <t xml:space="preserve">הערכה. מחיר קמעונאי בבריטניה ל-T46U: כ-£134 לפני מע"מ – ייתכן שגבוה מהמחיר המרבי 500 ₪.</t>
  </si>
  <si>
    <t xml:space="preserve">שנות אופציה צפויות (0–4)</t>
  </si>
  <si>
    <t xml:space="preserve">הנחה. העירייה רשאית להאריך עד 4 שנים.</t>
  </si>
  <si>
    <t xml:space="preserve">שיעור היוון שנתי</t>
  </si>
  <si>
    <t xml:space="preserve">הנחה: עלות הון.</t>
  </si>
  <si>
    <t xml:space="preserve">אופן תשלום סעיף 1: 1 = אבני דרך 20%/80%, 2 = 20% ואז 80% ב-36 תשלומים</t>
  </si>
  <si>
    <t xml:space="preserve">הסכם 8.2.2: העירייה רשאית לבחור באפשרות 2.</t>
  </si>
  <si>
    <t xml:space="preserve">חודש סיום מוקדם (0 = ללא סיום מוקדם)</t>
  </si>
  <si>
    <t xml:space="preserve">הסכם 7.3: סיום בהודעה של 30 יום. תרחיש: להזין למשל 12.</t>
  </si>
  <si>
    <t xml:space="preserve">חודש עלייה לאוויר</t>
  </si>
  <si>
    <t xml:space="preserve">מסמך א' 2.4: 30 ימים מההודעה על חתימה.</t>
  </si>
  <si>
    <t xml:space="preserve">מקדם ניקוד מחיר</t>
  </si>
  <si>
    <t xml:space="preserve">מסמך א' 10.2: הניקוד הסופי מוכפל ב-70%.</t>
  </si>
  <si>
    <t xml:space="preserve">נגזרות</t>
  </si>
  <si>
    <t xml:space="preserve">עלות שוטפת לחודש, ללא דקות</t>
  </si>
  <si>
    <t xml:space="preserve">פלטפורמה + רישוי מוקד + תמיכה + ערבויות/ביטוח/קנסות</t>
  </si>
  <si>
    <t xml:space="preserve">עלות דקות לחודש</t>
  </si>
  <si>
    <t xml:space="preserve">דקות × עלות לדקה</t>
  </si>
  <si>
    <t xml:space="preserve">סיום התקשרות צפוי (חודש)</t>
  </si>
  <si>
    <t xml:space="preserve">אם אין סיום מוקדם: 36 חודשים + שנות אופציה</t>
  </si>
  <si>
    <t xml:space="preserve">סעיפי מחיר בשקלול (נספח ה')</t>
  </si>
  <si>
    <r>
      <rPr>
        <sz val="11"/>
        <color theme="1"/>
        <rFont val="FreeSans"/>
        <family val="2"/>
      </rPr>
      <t xml:space="preserve">מקדם ניקוד</t>
    </r>
    <r>
      <rPr>
        <sz val="11"/>
        <color theme="1"/>
        <rFont val="Calibri"/>
        <family val="2"/>
        <charset val="1"/>
      </rPr>
      <t xml:space="preserve">:</t>
    </r>
  </si>
  <si>
    <t xml:space="preserve">#</t>
  </si>
  <si>
    <t xml:space="preserve">סעיף</t>
  </si>
  <si>
    <t xml:space="preserve">יחידה</t>
  </si>
  <si>
    <t xml:space="preserve">מחיר מינימום</t>
  </si>
  <si>
    <t xml:space="preserve">מחיר מקסימום</t>
  </si>
  <si>
    <t xml:space="preserve">משקל</t>
  </si>
  <si>
    <t xml:space="preserve">כמות ב-36 ח'</t>
  </si>
  <si>
    <t xml:space="preserve">כמות בשנות אופציה</t>
  </si>
  <si>
    <t xml:space="preserve">ההצעה שלנו</t>
  </si>
  <si>
    <t xml:space="preserve">העלות שלנו ליחידה</t>
  </si>
  <si>
    <t xml:space="preserve">מתחרה 1</t>
  </si>
  <si>
    <t xml:space="preserve">מתחרה 2</t>
  </si>
  <si>
    <t xml:space="preserve">מתחרה 3</t>
  </si>
  <si>
    <t xml:space="preserve">ההצעה הנמוכה (A)</t>
  </si>
  <si>
    <t xml:space="preserve">בדיקת טווח</t>
  </si>
  <si>
    <t xml:space="preserve">ניקוד שלנו</t>
  </si>
  <si>
    <t xml:space="preserve">ניקוד מתחרה 1</t>
  </si>
  <si>
    <t xml:space="preserve">ניקוד מתחרה 2</t>
  </si>
  <si>
    <t xml:space="preserve">ניקוד מתחרה 3</t>
  </si>
  <si>
    <t xml:space="preserve">₪ לנקודה אחת (על כל החוזה)</t>
  </si>
  <si>
    <t xml:space="preserve">הכנסה 36 ח'</t>
  </si>
  <si>
    <t xml:space="preserve">הכנסה אופציה</t>
  </si>
  <si>
    <t xml:space="preserve">עלות 36 ח'</t>
  </si>
  <si>
    <t xml:space="preserve">רווח 36 ח'</t>
  </si>
  <si>
    <t xml:space="preserve">חבילה: מרכזייה מקומית + ענן + 2 מוקדים, כולל 36 ח' שירות</t>
  </si>
  <si>
    <t xml:space="preserve">קומפלט</t>
  </si>
  <si>
    <t xml:space="preserve">0</t>
  </si>
  <si>
    <t xml:space="preserve">טלפון בסיסי (8.1)</t>
  </si>
  <si>
    <t xml:space="preserve">טלפון מתקדם (8.2)</t>
  </si>
  <si>
    <t xml:space="preserve">שירות, תמיכה ואחריות משנה רביעית</t>
  </si>
  <si>
    <t xml:space="preserve">שנתי</t>
  </si>
  <si>
    <t xml:space="preserve">בנק 40,000 דקות</t>
  </si>
  <si>
    <t xml:space="preserve">חודשי</t>
  </si>
  <si>
    <t xml:space="preserve">סה"כ</t>
  </si>
  <si>
    <t xml:space="preserve">פער ניקוד מחיר מרבי אפשרי (כל הסעיפים במינימום מול כל הסעיפים במקסימום)</t>
  </si>
  <si>
    <t xml:space="preserve">מחיר שלוחה לחודש שמגולם בסעיף 1 (ההצעה שלנו)</t>
  </si>
  <si>
    <t xml:space="preserve">מחיר לדקה שמגולם בסעיף 5 (ההצעה שלנו)</t>
  </si>
  <si>
    <t xml:space="preserve">תוספות שאינן בשקלול (נספח ה', עמ' 57)</t>
  </si>
  <si>
    <r>
      <rPr>
        <sz val="11"/>
        <color theme="1"/>
        <rFont val="FreeSans"/>
        <family val="2"/>
      </rPr>
      <t xml:space="preserve">אין להן השפעה על הניקוד – לכן ההמלצה היא המחיר המרבי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סעיף שלא ימולא יחייב בממוצע בין המינימום למקסימום</t>
    </r>
    <r>
      <rPr>
        <sz val="11"/>
        <color theme="1"/>
        <rFont val="Calibri"/>
        <family val="2"/>
        <charset val="1"/>
      </rPr>
      <t xml:space="preserve">.</t>
    </r>
  </si>
  <si>
    <t xml:space="preserve">מינימום</t>
  </si>
  <si>
    <t xml:space="preserve">מקסימום</t>
  </si>
  <si>
    <t xml:space="preserve">כמות צפויה לחודש</t>
  </si>
  <si>
    <t xml:space="preserve">רווח חודשי צפוי</t>
  </si>
  <si>
    <t xml:space="preserve">שלוחה בודדת ב-Call Center בענן</t>
  </si>
  <si>
    <t xml:space="preserve">טלפון מתקדם שני מסכים (8.3)</t>
  </si>
  <si>
    <t xml:space="preserve">מתאם FXS עם 2 יציאות</t>
  </si>
  <si>
    <t xml:space="preserve">מתאם FXS עם 4 יציאות</t>
  </si>
  <si>
    <t xml:space="preserve">ספק כוח לטלפון IP</t>
  </si>
  <si>
    <t xml:space="preserve">שעת טכנאי</t>
  </si>
  <si>
    <t xml:space="preserve">רישוי 10 שלוחות נוספות ל-Call Center בענן</t>
  </si>
  <si>
    <t xml:space="preserve">רישוי 10 שלוחות נוספות ל-Call Center מקומי</t>
  </si>
  <si>
    <t xml:space="preserve">חבילת 10,000 דקות נוספות לחודש</t>
  </si>
  <si>
    <t xml:space="preserve">שעת הקלטה באולפן</t>
  </si>
  <si>
    <t xml:space="preserve">סה"כ רווח חודשי מתוספות</t>
  </si>
  <si>
    <t xml:space="preserve">הערה: עלות הטלפון שני המסכים עשויה לעלות על המינימום (200 ₪) – לא להתקרב למינימום.</t>
  </si>
  <si>
    <t xml:space="preserve">ניקוד כולל ותחרות</t>
  </si>
  <si>
    <t xml:space="preserve">מציע</t>
  </si>
  <si>
    <t xml:space="preserve">ניקוד מחיר (מתוך 70)</t>
  </si>
  <si>
    <t xml:space="preserve">איכות הפתרון (מתוך 20)</t>
  </si>
  <si>
    <t xml:space="preserve">מצגת (מתוך 10)</t>
  </si>
  <si>
    <t xml:space="preserve">דירוג</t>
  </si>
  <si>
    <t xml:space="preserve">סף איכות 70% (14 נק')</t>
  </si>
  <si>
    <t xml:space="preserve">פער מול המוביל האחר</t>
  </si>
  <si>
    <t xml:space="preserve">HOT (אנחנו)</t>
  </si>
  <si>
    <t xml:space="preserve">שווי נקודת ניקוד אחת</t>
  </si>
  <si>
    <t xml:space="preserve">בסעיף 1 (חבילה)</t>
  </si>
  <si>
    <t xml:space="preserve">כלומר: נקודת איכות אחת שווה בערך הנחה כזו במחיר. השקעה בהדגמה ובמסמך המענה זולה בהרבה.</t>
  </si>
  <si>
    <t xml:space="preserve">בסעיף 5 (דקות, כל החוזה)</t>
  </si>
  <si>
    <t xml:space="preserve">תזרים חודשי ורווחיות</t>
  </si>
  <si>
    <t xml:space="preserve">הכנסות 36 חודשים</t>
  </si>
  <si>
    <t xml:space="preserve">רווח כל התקופה</t>
  </si>
  <si>
    <t xml:space="preserve">עלויות 36 חודשים</t>
  </si>
  <si>
    <t xml:space="preserve">ערך נוכחי נקי (NPV)</t>
  </si>
  <si>
    <t xml:space="preserve">רווח 36 חודשים</t>
  </si>
  <si>
    <t xml:space="preserve">עלות חודשית מרבית לאיזון ב-36 ח'</t>
  </si>
  <si>
    <t xml:space="preserve">הערה: באפשרות תשלום 2 ובסיום מוקדם, התשלומים שטרם שולמו אובדים (לפי נוסח ההסכם הנוכחי – ראו שאלת הבהרה 4).</t>
  </si>
  <si>
    <t xml:space="preserve">חשיפת מזומנים מרבית</t>
  </si>
  <si>
    <t xml:space="preserve">חודש</t>
  </si>
  <si>
    <t xml:space="preserve">פעיל</t>
  </si>
  <si>
    <t xml:space="preserve">הכנסה: סעיף 1</t>
  </si>
  <si>
    <t xml:space="preserve">הכנסה: טלפונים</t>
  </si>
  <si>
    <t xml:space="preserve">הכנסה: דקות</t>
  </si>
  <si>
    <t xml:space="preserve">הכנסה: שירות שנה 4+</t>
  </si>
  <si>
    <t xml:space="preserve">רווח: תוספות</t>
  </si>
  <si>
    <t xml:space="preserve">עלות חד-פעמית</t>
  </si>
  <si>
    <t xml:space="preserve">עלות שוטפת</t>
  </si>
  <si>
    <t xml:space="preserve">עלות דקות</t>
  </si>
  <si>
    <t xml:space="preserve">תזרים נטו</t>
  </si>
  <si>
    <t xml:space="preserve">מצטבר</t>
  </si>
  <si>
    <t xml:space="preserve">מדדי שוק (מחקר רשת, אוקטובר 2026)</t>
  </si>
  <si>
    <t xml:space="preserve">מדד</t>
  </si>
  <si>
    <t xml:space="preserve">הערה / אמינות</t>
  </si>
  <si>
    <t xml:space="preserve">מקור</t>
  </si>
  <si>
    <t xml:space="preserve">מרכזייה בענן – מחיר לשלוחה לחודש (שוק SMB)</t>
  </si>
  <si>
    <t xml:space="preserve">20–80 ₪ לפני מע"מ</t>
  </si>
  <si>
    <t xml:space="preserve">מדריך השוואה שיווקי. לפי אותו מקור רוב המרכזיות עד 25 ₪.</t>
  </si>
  <si>
    <t xml:space="preserve">https://www.xn----9hcbbmdejomb6a2c8b8a.org.il/cloud-pbx/</t>
  </si>
  <si>
    <t xml:space="preserve">Voipe – משתמש בסיסי / משתמש Call Center</t>
  </si>
  <si>
    <t xml:space="preserve">39 ₪ / 69 ₪ לחודש</t>
  </si>
  <si>
    <t xml:space="preserve">מחירון ספק, חיוב שנתי, מינימום 5 משתמשים.</t>
  </si>
  <si>
    <t xml:space="preserve">https://voipe.co.il/pbx</t>
  </si>
  <si>
    <t xml:space="preserve">בזק עסקים IP Centrex</t>
  </si>
  <si>
    <t xml:space="preserve">26.90–37 ₪ לשלוחה</t>
  </si>
  <si>
    <t xml:space="preserve">לפי מדריך השוואה; לא אומת מול מחירון בזק.</t>
  </si>
  <si>
    <t xml:space="preserve">עמדת Call Center מתקדמת (CRM/AI)</t>
  </si>
  <si>
    <t xml:space="preserve">עד כ-100–180 ₪ לחודש</t>
  </si>
  <si>
    <t xml:space="preserve">מדריכי השוואה; טווח רחב.</t>
  </si>
  <si>
    <t xml:space="preserve">https://www.teleco.co.il/%D7%9E%D7%A8%D7%9B%D7%96%D7%99%D7%95%D7%AA-%D7%91%D7%A2%D7%A0%D7%9F/</t>
  </si>
  <si>
    <t xml:space="preserve">Yealink T33G (בסיסי)</t>
  </si>
  <si>
    <t xml:space="preserve">כ-£64 לפני מע"מ (בריטניה)</t>
  </si>
  <si>
    <t xml:space="preserve">מחיר קמעונאי בחו"ל; מחיר מפיץ בישראל לא נמצא.</t>
  </si>
  <si>
    <t xml:space="preserve">https://www.netxl.com/desktop-voip-phones/yealink-t33g-sip-entry-level-desk-phone-with-no-psu-included</t>
  </si>
  <si>
    <t xml:space="preserve">Yealink T46U (מתקדם)</t>
  </si>
  <si>
    <t xml:space="preserve">כ-£134 לפני מע"מ (בריטניה)</t>
  </si>
  <si>
    <t xml:space="preserve">מחיר קמעונאי בחו"ל. ייתכן שהמחיר המרבי במכרז (500 ₪) נמוך מהעלות.</t>
  </si>
  <si>
    <t xml:space="preserve">https://www.provu.co.uk/yealink-t46u.html</t>
  </si>
  <si>
    <t xml:space="preserve">דמי קישוריות גומלין לסלולר</t>
  </si>
  <si>
    <t xml:space="preserve">כ-6 אג' לדקה</t>
  </si>
  <si>
    <t xml:space="preserve">מתווה הביטול נעצר לפי דיווחים; התעריף העדכני לא אומת.</t>
  </si>
  <si>
    <t xml:space="preserve">https://www.calcalist.co.il/local_news/article/hy7p11dsp2</t>
  </si>
  <si>
    <t xml:space="preserve">הצעה גרעונית – עמדת הפסיקה</t>
  </si>
  <si>
    <t xml:space="preserve">לא נפסלת אוטומטית</t>
  </si>
  <si>
    <t xml:space="preserve">עע"מ 3499/08 רון עבודות נ' ועדת המכרזים עפולה; הצעה תכסיסנית – נפסלת.</t>
  </si>
  <si>
    <t xml:space="preserve">https://www.duns100.co.il/articles/לא_כל_מספר_זוכה__על_הצעה_הפסדית_והצעה_תכסיסנית_במכרז_הציבורי</t>
  </si>
  <si>
    <t xml:space="preserve">מחיר שלוחה לחודש שמגולם בסעיף 1 באופקים</t>
  </si>
  <si>
    <t xml:space="preserve">חישוב: מחיר החבילה ÷ 36 ÷ 300. כולל גם חומרה מקומית ושני מוקדים.</t>
  </si>
  <si>
    <t xml:space="preserve">חישוב פנימי</t>
  </si>
  <si>
    <t xml:space="preserve">תוצאות מכרזי טלפוניה עירוניים קודמים</t>
  </si>
  <si>
    <t xml:space="preserve">לא נמצאו מחירים פומביים</t>
  </si>
  <si>
    <t xml:space="preserve">פרוטוקולי ועדות (למשל רמלה 15/16) אינם מפרסמים סכומים. מומלץ לבקש עיון במסמכי הזוכה.</t>
  </si>
  <si>
    <t xml:space="preserve">https://www.ramle.org.il/uploads/n/1614840111.5536.pdf</t>
  </si>
  <si>
    <t xml:space="preserve">כרטיס החלטה: להגיש / לא להגיש</t>
  </si>
  <si>
    <t xml:space="preserve">קריטריון</t>
  </si>
  <si>
    <t xml:space="preserve">ציון (1–5)</t>
  </si>
  <si>
    <t xml:space="preserve">ציון משוקלל</t>
  </si>
  <si>
    <t xml:space="preserve">הערה</t>
  </si>
  <si>
    <t xml:space="preserve">עמידה בכל תנאי הסף (כולל 3 לקוחות × 50 שלוחות אנלוגיות)</t>
  </si>
  <si>
    <t xml:space="preserve">אם לא עומדים – לא מגישים, בלי קשר לשאר.</t>
  </si>
  <si>
    <t xml:space="preserve">רווחיות צפויה (גיליון תזרים)</t>
  </si>
  <si>
    <t xml:space="preserve">בהנחות ברירת המחדל הרווח שלילי – לעדכן עלויות.</t>
  </si>
  <si>
    <t xml:space="preserve">ערך אסטרטגי ואפסייל (קישוריות, סלולר, בתי ספר)</t>
  </si>
  <si>
    <t xml:space="preserve">שלוחות SIM/eSIM ובתי ספר – הזדמנות ל-HOT.</t>
  </si>
  <si>
    <t xml:space="preserve">סיכון חוזי (קנסות, סיום מוקדם, אחריות ללא תקרה)</t>
  </si>
  <si>
    <t xml:space="preserve">תלוי בתשובות להבהרות 2–4.</t>
  </si>
  <si>
    <t xml:space="preserve">יכולת הדגמה חיה ואיכות פתרון (30 נק')</t>
  </si>
  <si>
    <t xml:space="preserve">30 נקודות איכות מול פער מחיר מרבי של כ-15 נקודות.</t>
  </si>
  <si>
    <t xml:space="preserve">עוצמת התחרות והספק המכהן</t>
  </si>
  <si>
    <t xml:space="preserve">הספק הקיים (SAR) מכיר את הלקוח.</t>
  </si>
  <si>
    <t xml:space="preserve">זמינות צוות ומשאבים בלוח הזמנים</t>
  </si>
  <si>
    <t xml:space="preserve">הגשה 03/11, הקמה תוך 30 יום.</t>
  </si>
  <si>
    <t xml:space="preserve">סה"כ (מתוך 5)</t>
  </si>
  <si>
    <t xml:space="preserve">רווח צפוי ל-36 חודשים (מקושר)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</si>
</sst>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&quot; ₪&quot;;\(#,##0&quot; ₪)&quot;;\-"/>
    <numFmt numFmtId="166" formatCode="#,##0;\(#,##0\);\-"/>
    <numFmt numFmtId="167" formatCode="#,##0.00&quot; ₪&quot;;\(#,##0.00&quot; ₪)&quot;;\-"/>
    <numFmt numFmtId="168" formatCode="0.000&quot; ₪&quot;"/>
    <numFmt numFmtId="169" formatCode="0.0%;\(0.0%\);\-"/>
    <numFmt numFmtId="170" formatCode="0"/>
    <numFmt numFmtId="171" formatCode="0.00"/>
    <numFmt numFmtId="172" formatCode="0.00;\(0.00\);\-"/>
    <numFmt numFmtId="173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FreeSans"/>
      <family val="2"/>
    </font>
    <font>
      <sz val="10"/>
      <name val="FreeSan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6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7" t="s">
        <v>16</v>
      </c>
    </row>
    <row r="3" customFormat="false" ht="45" hidden="false" customHeight="true" outlineLevel="0" collapsed="false">
      <c r="A3" s="8" t="s">
        <v>17</v>
      </c>
      <c r="B3" s="8" t="s">
        <v>18</v>
      </c>
      <c r="C3" s="8" t="s">
        <v>19</v>
      </c>
    </row>
    <row r="4" customFormat="false" ht="26.85" hidden="false" customHeight="false" outlineLevel="0" collapsed="false">
      <c r="A4" s="9" t="s">
        <v>20</v>
      </c>
      <c r="B4" s="10" t="n">
        <v>25000</v>
      </c>
      <c r="C4" s="9" t="s">
        <v>21</v>
      </c>
    </row>
    <row r="5" customFormat="false" ht="15" hidden="false" customHeight="false" outlineLevel="0" collapsed="false">
      <c r="A5" s="9" t="s">
        <v>22</v>
      </c>
      <c r="B5" s="10" t="n">
        <v>15000</v>
      </c>
      <c r="C5" s="9" t="s">
        <v>23</v>
      </c>
    </row>
    <row r="6" customFormat="false" ht="26.85" hidden="false" customHeight="false" outlineLevel="0" collapsed="false">
      <c r="A6" s="9" t="s">
        <v>24</v>
      </c>
      <c r="B6" s="10" t="n">
        <v>8000</v>
      </c>
      <c r="C6" s="9" t="s">
        <v>25</v>
      </c>
    </row>
    <row r="7" customFormat="false" ht="15" hidden="false" customHeight="false" outlineLevel="0" collapsed="false">
      <c r="A7" s="9" t="s">
        <v>26</v>
      </c>
      <c r="B7" s="11" t="n">
        <v>300</v>
      </c>
      <c r="C7" s="9" t="s">
        <v>27</v>
      </c>
    </row>
    <row r="8" customFormat="false" ht="15" hidden="false" customHeight="false" outlineLevel="0" collapsed="false">
      <c r="A8" s="9" t="s">
        <v>28</v>
      </c>
      <c r="B8" s="12" t="n">
        <v>4</v>
      </c>
      <c r="C8" s="9" t="s">
        <v>29</v>
      </c>
    </row>
    <row r="9" customFormat="false" ht="15" hidden="false" customHeight="false" outlineLevel="0" collapsed="false">
      <c r="A9" s="9" t="s">
        <v>30</v>
      </c>
      <c r="B9" s="10" t="n">
        <v>600</v>
      </c>
      <c r="C9" s="9" t="s">
        <v>31</v>
      </c>
    </row>
    <row r="10" customFormat="false" ht="15" hidden="false" customHeight="false" outlineLevel="0" collapsed="false">
      <c r="A10" s="9" t="s">
        <v>32</v>
      </c>
      <c r="B10" s="10" t="n">
        <v>1500</v>
      </c>
      <c r="C10" s="9" t="s">
        <v>33</v>
      </c>
    </row>
    <row r="11" customFormat="false" ht="15" hidden="false" customHeight="false" outlineLevel="0" collapsed="false">
      <c r="A11" s="9" t="s">
        <v>34</v>
      </c>
      <c r="B11" s="11" t="n">
        <v>40000</v>
      </c>
      <c r="C11" s="9" t="s">
        <v>35</v>
      </c>
    </row>
    <row r="12" customFormat="false" ht="26.85" hidden="false" customHeight="false" outlineLevel="0" collapsed="false">
      <c r="A12" s="9" t="s">
        <v>36</v>
      </c>
      <c r="B12" s="13" t="n">
        <v>0.03</v>
      </c>
      <c r="C12" s="9" t="s">
        <v>37</v>
      </c>
    </row>
    <row r="13" customFormat="false" ht="15" hidden="false" customHeight="false" outlineLevel="0" collapsed="false">
      <c r="A13" s="9" t="s">
        <v>38</v>
      </c>
      <c r="B13" s="10" t="n">
        <v>3500</v>
      </c>
      <c r="C13" s="9" t="s">
        <v>39</v>
      </c>
    </row>
    <row r="14" customFormat="false" ht="15" hidden="false" customHeight="false" outlineLevel="0" collapsed="false">
      <c r="A14" s="9" t="s">
        <v>40</v>
      </c>
      <c r="B14" s="10" t="n">
        <v>2000</v>
      </c>
      <c r="C14" s="9" t="s">
        <v>41</v>
      </c>
    </row>
    <row r="15" customFormat="false" ht="15" hidden="false" customHeight="false" outlineLevel="0" collapsed="false">
      <c r="A15" s="9" t="s">
        <v>42</v>
      </c>
      <c r="B15" s="10" t="n">
        <v>230</v>
      </c>
      <c r="C15" s="9" t="s">
        <v>43</v>
      </c>
    </row>
    <row r="16" customFormat="false" ht="26.85" hidden="false" customHeight="false" outlineLevel="0" collapsed="false">
      <c r="A16" s="9" t="s">
        <v>44</v>
      </c>
      <c r="B16" s="10" t="n">
        <v>450</v>
      </c>
      <c r="C16" s="9" t="s">
        <v>45</v>
      </c>
    </row>
    <row r="17" customFormat="false" ht="15" hidden="false" customHeight="false" outlineLevel="0" collapsed="false">
      <c r="A17" s="9" t="s">
        <v>46</v>
      </c>
      <c r="B17" s="14" t="n">
        <v>2</v>
      </c>
      <c r="C17" s="9" t="s">
        <v>47</v>
      </c>
    </row>
    <row r="18" customFormat="false" ht="15" hidden="false" customHeight="false" outlineLevel="0" collapsed="false">
      <c r="A18" s="9" t="s">
        <v>48</v>
      </c>
      <c r="B18" s="15" t="n">
        <v>0.08</v>
      </c>
      <c r="C18" s="9" t="s">
        <v>49</v>
      </c>
    </row>
    <row r="19" customFormat="false" ht="26.85" hidden="false" customHeight="false" outlineLevel="0" collapsed="false">
      <c r="A19" s="9" t="s">
        <v>50</v>
      </c>
      <c r="B19" s="16" t="n">
        <v>1</v>
      </c>
      <c r="C19" s="9" t="s">
        <v>51</v>
      </c>
    </row>
    <row r="20" customFormat="false" ht="15" hidden="false" customHeight="false" outlineLevel="0" collapsed="false">
      <c r="A20" s="9" t="s">
        <v>52</v>
      </c>
      <c r="B20" s="16" t="n">
        <v>0</v>
      </c>
      <c r="C20" s="9" t="s">
        <v>53</v>
      </c>
    </row>
    <row r="21" customFormat="false" ht="15" hidden="false" customHeight="false" outlineLevel="0" collapsed="false">
      <c r="A21" s="9" t="s">
        <v>54</v>
      </c>
      <c r="B21" s="16" t="n">
        <v>2</v>
      </c>
      <c r="C21" s="9" t="s">
        <v>55</v>
      </c>
    </row>
    <row r="22" customFormat="false" ht="15" hidden="false" customHeight="false" outlineLevel="0" collapsed="false">
      <c r="A22" s="9" t="s">
        <v>56</v>
      </c>
      <c r="B22" s="17" t="n">
        <v>0.7</v>
      </c>
      <c r="C22" s="9" t="s">
        <v>57</v>
      </c>
    </row>
    <row r="24" customFormat="false" ht="15" hidden="false" customHeight="false" outlineLevel="0" collapsed="false">
      <c r="A24" s="18" t="s">
        <v>58</v>
      </c>
    </row>
    <row r="25" customFormat="false" ht="15" hidden="false" customHeight="false" outlineLevel="0" collapsed="false">
      <c r="A25" s="19" t="s">
        <v>59</v>
      </c>
      <c r="B25" s="20" t="n">
        <f aca="false">B7*B8+B9+B10+(B13+B14)/12</f>
        <v>3758.33333333333</v>
      </c>
      <c r="C25" s="19" t="s">
        <v>60</v>
      </c>
    </row>
    <row r="26" customFormat="false" ht="15" hidden="false" customHeight="false" outlineLevel="0" collapsed="false">
      <c r="A26" s="19" t="s">
        <v>61</v>
      </c>
      <c r="B26" s="20" t="n">
        <f aca="false">B11*B12</f>
        <v>1200</v>
      </c>
      <c r="C26" s="19" t="s">
        <v>62</v>
      </c>
    </row>
    <row r="27" customFormat="false" ht="15" hidden="false" customHeight="false" outlineLevel="0" collapsed="false">
      <c r="A27" s="19" t="s">
        <v>63</v>
      </c>
      <c r="B27" s="21" t="n">
        <f aca="false">IF(B20&gt;0,B20,36+12*B17)</f>
        <v>60</v>
      </c>
      <c r="C27" s="1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14" min="9" style="0" width="12"/>
    <col collapsed="false" customWidth="true" hidden="false" outlineLevel="0" max="15" min="15" style="0" width="18"/>
    <col collapsed="false" customWidth="true" hidden="false" outlineLevel="0" max="19" min="16" style="0" width="10"/>
    <col collapsed="false" customWidth="true" hidden="false" outlineLevel="0" max="20" min="20" style="0" width="14"/>
    <col collapsed="false" customWidth="true" hidden="false" outlineLevel="0" max="24" min="21" style="0" width="13"/>
  </cols>
  <sheetData>
    <row r="1" customFormat="false" ht="17.15" hidden="false" customHeight="false" outlineLevel="0" collapsed="false">
      <c r="A1" s="7" t="s">
        <v>65</v>
      </c>
    </row>
    <row r="2" customFormat="false" ht="15" hidden="false" customHeight="false" outlineLevel="0" collapsed="false">
      <c r="B2" s="22" t="s">
        <v>66</v>
      </c>
      <c r="C2" s="23" t="n">
        <f aca="false">הנחות!B22</f>
        <v>0.7</v>
      </c>
    </row>
    <row r="4" customFormat="false" ht="45" hidden="false" customHeight="true" outlineLevel="0" collapsed="false">
      <c r="A4" s="8" t="s">
        <v>67</v>
      </c>
      <c r="B4" s="8" t="s">
        <v>68</v>
      </c>
      <c r="C4" s="8" t="s">
        <v>69</v>
      </c>
      <c r="D4" s="8" t="s">
        <v>70</v>
      </c>
      <c r="E4" s="8" t="s">
        <v>71</v>
      </c>
      <c r="F4" s="8" t="s">
        <v>72</v>
      </c>
      <c r="G4" s="8" t="s">
        <v>73</v>
      </c>
      <c r="H4" s="8" t="s">
        <v>74</v>
      </c>
      <c r="I4" s="8" t="s">
        <v>75</v>
      </c>
      <c r="J4" s="8" t="s">
        <v>76</v>
      </c>
      <c r="K4" s="8" t="s">
        <v>77</v>
      </c>
      <c r="L4" s="8" t="s">
        <v>78</v>
      </c>
      <c r="M4" s="8" t="s">
        <v>79</v>
      </c>
      <c r="N4" s="8" t="s">
        <v>80</v>
      </c>
      <c r="O4" s="8" t="s">
        <v>81</v>
      </c>
      <c r="P4" s="8" t="s">
        <v>82</v>
      </c>
      <c r="Q4" s="8" t="s">
        <v>83</v>
      </c>
      <c r="R4" s="8" t="s">
        <v>84</v>
      </c>
      <c r="S4" s="8" t="s">
        <v>85</v>
      </c>
      <c r="T4" s="8" t="s">
        <v>86</v>
      </c>
      <c r="U4" s="8" t="s">
        <v>87</v>
      </c>
      <c r="V4" s="8" t="s">
        <v>88</v>
      </c>
      <c r="W4" s="8" t="s">
        <v>89</v>
      </c>
      <c r="X4" s="8" t="s">
        <v>90</v>
      </c>
    </row>
    <row r="5" customFormat="false" ht="26.85" hidden="false" customHeight="false" outlineLevel="0" collapsed="false">
      <c r="A5" s="19" t="n">
        <v>1</v>
      </c>
      <c r="B5" s="9" t="s">
        <v>91</v>
      </c>
      <c r="C5" s="19" t="s">
        <v>92</v>
      </c>
      <c r="D5" s="24" t="n">
        <v>100000</v>
      </c>
      <c r="E5" s="24" t="n">
        <v>122000</v>
      </c>
      <c r="F5" s="25" t="n">
        <v>65</v>
      </c>
      <c r="G5" s="26" t="n">
        <v>1</v>
      </c>
      <c r="H5" s="26" t="s">
        <v>93</v>
      </c>
      <c r="I5" s="10" t="n">
        <v>100000</v>
      </c>
      <c r="J5" s="27" t="n">
        <f aca="false">הנחות!B4+הנחות!B5+36*הנחות!B25</f>
        <v>175300</v>
      </c>
      <c r="K5" s="24" t="n">
        <v>100000</v>
      </c>
      <c r="L5" s="24" t="n">
        <v>100000</v>
      </c>
      <c r="M5" s="24" t="n">
        <v>100000</v>
      </c>
      <c r="N5" s="20" t="n">
        <f aca="false">MIN(I5,K5,L5,M5)</f>
        <v>100000</v>
      </c>
      <c r="O5" s="19" t="str">
        <f aca="false">IF(OR(I5&lt;D5,I5&gt;E5),"פסול – מחוץ לטווח","תקין")</f>
        <v>תקין</v>
      </c>
      <c r="P5" s="28" t="n">
        <f aca="false">IF(I5&gt;0,F5*N5/I5*$C$2,0)</f>
        <v>45.5</v>
      </c>
      <c r="Q5" s="28" t="n">
        <f aca="false">IF(K5&gt;0,F5*N5/K5*$C$2,0)</f>
        <v>45.5</v>
      </c>
      <c r="R5" s="28" t="n">
        <f aca="false">IF(L5&gt;0,F5*N5/L5*$C$2,0)</f>
        <v>45.5</v>
      </c>
      <c r="S5" s="28" t="n">
        <f aca="false">IF(M5&gt;0,F5*N5/M5*$C$2,0)</f>
        <v>45.5</v>
      </c>
      <c r="T5" s="20" t="n">
        <f aca="false">IF(F5*N5&gt;0,(G5+H5)*I5^2/(F5*$C$2*N5),0)</f>
        <v>2197.8021978022</v>
      </c>
      <c r="U5" s="20" t="n">
        <f aca="false">I5*G5</f>
        <v>100000</v>
      </c>
      <c r="V5" s="20" t="n">
        <f aca="false">I5*H5</f>
        <v>0</v>
      </c>
      <c r="W5" s="20" t="n">
        <f aca="false">J5*G5</f>
        <v>175300</v>
      </c>
      <c r="X5" s="20" t="n">
        <f aca="false">U5-W5</f>
        <v>-75300</v>
      </c>
    </row>
    <row r="6" customFormat="false" ht="15" hidden="false" customHeight="false" outlineLevel="0" collapsed="false">
      <c r="A6" s="19" t="n">
        <v>2</v>
      </c>
      <c r="B6" s="9" t="s">
        <v>94</v>
      </c>
      <c r="C6" s="19" t="s">
        <v>69</v>
      </c>
      <c r="D6" s="24" t="n">
        <v>250</v>
      </c>
      <c r="E6" s="24" t="n">
        <v>420</v>
      </c>
      <c r="F6" s="25" t="n">
        <v>3</v>
      </c>
      <c r="G6" s="14" t="n">
        <v>30</v>
      </c>
      <c r="H6" s="26" t="s">
        <v>93</v>
      </c>
      <c r="I6" s="10" t="n">
        <v>250</v>
      </c>
      <c r="J6" s="27" t="n">
        <f aca="false">הנחות!B15</f>
        <v>230</v>
      </c>
      <c r="K6" s="24" t="n">
        <v>250</v>
      </c>
      <c r="L6" s="24" t="n">
        <v>250</v>
      </c>
      <c r="M6" s="24" t="n">
        <v>250</v>
      </c>
      <c r="N6" s="20" t="n">
        <f aca="false">MIN(I6,K6,L6,M6)</f>
        <v>250</v>
      </c>
      <c r="O6" s="19" t="str">
        <f aca="false">IF(OR(I6&lt;D6,I6&gt;E6),"פסול – מחוץ לטווח","תקין")</f>
        <v>תקין</v>
      </c>
      <c r="P6" s="28" t="n">
        <f aca="false">IF(I6&gt;0,F6*N6/I6*$C$2,0)</f>
        <v>2.1</v>
      </c>
      <c r="Q6" s="28" t="n">
        <f aca="false">IF(K6&gt;0,F6*N6/K6*$C$2,0)</f>
        <v>2.1</v>
      </c>
      <c r="R6" s="28" t="n">
        <f aca="false">IF(L6&gt;0,F6*N6/L6*$C$2,0)</f>
        <v>2.1</v>
      </c>
      <c r="S6" s="28" t="n">
        <f aca="false">IF(M6&gt;0,F6*N6/M6*$C$2,0)</f>
        <v>2.1</v>
      </c>
      <c r="T6" s="20" t="n">
        <f aca="false">IF(F6*N6&gt;0,(G6+H6)*I6^2/(F6*$C$2*N6),0)</f>
        <v>3571.42857142857</v>
      </c>
      <c r="U6" s="20" t="n">
        <f aca="false">I6*G6</f>
        <v>7500</v>
      </c>
      <c r="V6" s="20" t="n">
        <f aca="false">I6*H6</f>
        <v>0</v>
      </c>
      <c r="W6" s="20" t="n">
        <f aca="false">J6*G6</f>
        <v>6900</v>
      </c>
      <c r="X6" s="20" t="n">
        <f aca="false">U6-W6</f>
        <v>600</v>
      </c>
    </row>
    <row r="7" customFormat="false" ht="15" hidden="false" customHeight="false" outlineLevel="0" collapsed="false">
      <c r="A7" s="19" t="n">
        <v>3</v>
      </c>
      <c r="B7" s="9" t="s">
        <v>95</v>
      </c>
      <c r="C7" s="19" t="s">
        <v>69</v>
      </c>
      <c r="D7" s="24" t="n">
        <v>420</v>
      </c>
      <c r="E7" s="24" t="n">
        <v>500</v>
      </c>
      <c r="F7" s="25" t="n">
        <v>2</v>
      </c>
      <c r="G7" s="14" t="n">
        <v>10</v>
      </c>
      <c r="H7" s="26" t="s">
        <v>93</v>
      </c>
      <c r="I7" s="10" t="n">
        <v>420</v>
      </c>
      <c r="J7" s="27" t="n">
        <f aca="false">הנחות!B16</f>
        <v>450</v>
      </c>
      <c r="K7" s="24" t="n">
        <v>420</v>
      </c>
      <c r="L7" s="24" t="n">
        <v>420</v>
      </c>
      <c r="M7" s="24" t="n">
        <v>420</v>
      </c>
      <c r="N7" s="20" t="n">
        <f aca="false">MIN(I7,K7,L7,M7)</f>
        <v>420</v>
      </c>
      <c r="O7" s="19" t="str">
        <f aca="false">IF(OR(I7&lt;D7,I7&gt;E7),"פסול – מחוץ לטווח","תקין")</f>
        <v>תקין</v>
      </c>
      <c r="P7" s="28" t="n">
        <f aca="false">IF(I7&gt;0,F7*N7/I7*$C$2,0)</f>
        <v>1.4</v>
      </c>
      <c r="Q7" s="28" t="n">
        <f aca="false">IF(K7&gt;0,F7*N7/K7*$C$2,0)</f>
        <v>1.4</v>
      </c>
      <c r="R7" s="28" t="n">
        <f aca="false">IF(L7&gt;0,F7*N7/L7*$C$2,0)</f>
        <v>1.4</v>
      </c>
      <c r="S7" s="28" t="n">
        <f aca="false">IF(M7&gt;0,F7*N7/M7*$C$2,0)</f>
        <v>1.4</v>
      </c>
      <c r="T7" s="20" t="n">
        <f aca="false">IF(F7*N7&gt;0,(G7+H7)*I7^2/(F7*$C$2*N7),0)</f>
        <v>3000</v>
      </c>
      <c r="U7" s="20" t="n">
        <f aca="false">I7*G7</f>
        <v>4200</v>
      </c>
      <c r="V7" s="20" t="n">
        <f aca="false">I7*H7</f>
        <v>0</v>
      </c>
      <c r="W7" s="20" t="n">
        <f aca="false">J7*G7</f>
        <v>4500</v>
      </c>
      <c r="X7" s="20" t="n">
        <f aca="false">U7-W7</f>
        <v>-300</v>
      </c>
    </row>
    <row r="8" customFormat="false" ht="15" hidden="false" customHeight="false" outlineLevel="0" collapsed="false">
      <c r="A8" s="19" t="n">
        <v>4</v>
      </c>
      <c r="B8" s="9" t="s">
        <v>96</v>
      </c>
      <c r="C8" s="19" t="s">
        <v>97</v>
      </c>
      <c r="D8" s="24" t="n">
        <v>20000</v>
      </c>
      <c r="E8" s="24" t="n">
        <v>23000</v>
      </c>
      <c r="F8" s="25" t="n">
        <v>15</v>
      </c>
      <c r="G8" s="26" t="n">
        <v>0</v>
      </c>
      <c r="H8" s="29" t="n">
        <f aca="false">הנחות!B17</f>
        <v>2</v>
      </c>
      <c r="I8" s="10" t="n">
        <v>20000</v>
      </c>
      <c r="J8" s="27" t="n">
        <f aca="false">12*הנחות!B25</f>
        <v>45100</v>
      </c>
      <c r="K8" s="24" t="n">
        <v>20000</v>
      </c>
      <c r="L8" s="24" t="n">
        <v>20000</v>
      </c>
      <c r="M8" s="24" t="n">
        <v>20000</v>
      </c>
      <c r="N8" s="20" t="n">
        <f aca="false">MIN(I8,K8,L8,M8)</f>
        <v>20000</v>
      </c>
      <c r="O8" s="19" t="str">
        <f aca="false">IF(OR(I8&lt;D8,I8&gt;E8),"פסול – מחוץ לטווח","תקין")</f>
        <v>תקין</v>
      </c>
      <c r="P8" s="28" t="n">
        <f aca="false">IF(I8&gt;0,F8*N8/I8*$C$2,0)</f>
        <v>10.5</v>
      </c>
      <c r="Q8" s="28" t="n">
        <f aca="false">IF(K8&gt;0,F8*N8/K8*$C$2,0)</f>
        <v>10.5</v>
      </c>
      <c r="R8" s="28" t="n">
        <f aca="false">IF(L8&gt;0,F8*N8/L8*$C$2,0)</f>
        <v>10.5</v>
      </c>
      <c r="S8" s="28" t="n">
        <f aca="false">IF(M8&gt;0,F8*N8/M8*$C$2,0)</f>
        <v>10.5</v>
      </c>
      <c r="T8" s="20" t="n">
        <f aca="false">IF(F8*N8&gt;0,(G8+H8)*I8^2/(F8*$C$2*N8),0)</f>
        <v>3809.52380952381</v>
      </c>
      <c r="U8" s="20" t="n">
        <f aca="false">I8*G8</f>
        <v>0</v>
      </c>
      <c r="V8" s="20" t="n">
        <f aca="false">I8*H8</f>
        <v>40000</v>
      </c>
      <c r="W8" s="20" t="n">
        <f aca="false">J8*G8</f>
        <v>0</v>
      </c>
      <c r="X8" s="20" t="n">
        <f aca="false">U8-W8</f>
        <v>0</v>
      </c>
    </row>
    <row r="9" customFormat="false" ht="15" hidden="false" customHeight="false" outlineLevel="0" collapsed="false">
      <c r="A9" s="19" t="n">
        <v>5</v>
      </c>
      <c r="B9" s="9" t="s">
        <v>98</v>
      </c>
      <c r="C9" s="19" t="s">
        <v>99</v>
      </c>
      <c r="D9" s="24" t="n">
        <v>1200</v>
      </c>
      <c r="E9" s="24" t="n">
        <v>2200</v>
      </c>
      <c r="F9" s="25" t="n">
        <v>15</v>
      </c>
      <c r="G9" s="26" t="n">
        <v>36</v>
      </c>
      <c r="H9" s="29" t="n">
        <f aca="false">12*הנחות!B17</f>
        <v>24</v>
      </c>
      <c r="I9" s="10" t="n">
        <v>1200</v>
      </c>
      <c r="J9" s="27" t="n">
        <f aca="false">הנחות!B26</f>
        <v>1200</v>
      </c>
      <c r="K9" s="24" t="n">
        <v>1200</v>
      </c>
      <c r="L9" s="24" t="n">
        <v>1200</v>
      </c>
      <c r="M9" s="24" t="n">
        <v>1200</v>
      </c>
      <c r="N9" s="20" t="n">
        <f aca="false">MIN(I9,K9,L9,M9)</f>
        <v>1200</v>
      </c>
      <c r="O9" s="19" t="str">
        <f aca="false">IF(OR(I9&lt;D9,I9&gt;E9),"פסול – מחוץ לטווח","תקין")</f>
        <v>תקין</v>
      </c>
      <c r="P9" s="28" t="n">
        <f aca="false">IF(I9&gt;0,F9*N9/I9*$C$2,0)</f>
        <v>10.5</v>
      </c>
      <c r="Q9" s="28" t="n">
        <f aca="false">IF(K9&gt;0,F9*N9/K9*$C$2,0)</f>
        <v>10.5</v>
      </c>
      <c r="R9" s="28" t="n">
        <f aca="false">IF(L9&gt;0,F9*N9/L9*$C$2,0)</f>
        <v>10.5</v>
      </c>
      <c r="S9" s="28" t="n">
        <f aca="false">IF(M9&gt;0,F9*N9/M9*$C$2,0)</f>
        <v>10.5</v>
      </c>
      <c r="T9" s="20" t="n">
        <f aca="false">IF(F9*N9&gt;0,(G9+H9)*I9^2/(F9*$C$2*N9),0)</f>
        <v>6857.14285714286</v>
      </c>
      <c r="U9" s="20" t="n">
        <f aca="false">I9*G9</f>
        <v>43200</v>
      </c>
      <c r="V9" s="20" t="n">
        <f aca="false">I9*H9</f>
        <v>28800</v>
      </c>
      <c r="W9" s="20" t="n">
        <f aca="false">J9*G9</f>
        <v>43200</v>
      </c>
      <c r="X9" s="20" t="n">
        <f aca="false">U9-W9</f>
        <v>0</v>
      </c>
    </row>
    <row r="10" customFormat="false" ht="15" hidden="false" customHeight="false" outlineLevel="0" collapsed="false">
      <c r="B10" s="30" t="s">
        <v>100</v>
      </c>
      <c r="P10" s="31" t="n">
        <f aca="false">SUM(P5:P9)</f>
        <v>70</v>
      </c>
      <c r="Q10" s="31" t="n">
        <f aca="false">SUM(Q5:Q9)</f>
        <v>70</v>
      </c>
      <c r="R10" s="31" t="n">
        <f aca="false">SUM(R5:R9)</f>
        <v>70</v>
      </c>
      <c r="S10" s="31" t="n">
        <f aca="false">SUM(S5:S9)</f>
        <v>70</v>
      </c>
      <c r="U10" s="32" t="n">
        <f aca="false">SUM(U5:U9)</f>
        <v>154900</v>
      </c>
      <c r="V10" s="32" t="n">
        <f aca="false">SUM(V5:V9)</f>
        <v>68800</v>
      </c>
      <c r="W10" s="32" t="n">
        <f aca="false">SUM(W5:W9)</f>
        <v>229900</v>
      </c>
      <c r="X10" s="32" t="n">
        <f aca="false">SUM(X5:X9)</f>
        <v>-75000</v>
      </c>
    </row>
    <row r="12" customFormat="false" ht="39.55" hidden="false" customHeight="false" outlineLevel="0" collapsed="false">
      <c r="B12" s="33" t="s">
        <v>101</v>
      </c>
      <c r="P12" s="31" t="n">
        <f aca="false">SUMPRODUCT(F5:F9,1-D5:D9/E5:E9)*$C$2</f>
        <v>15.4212105229055</v>
      </c>
    </row>
    <row r="13" customFormat="false" ht="26.85" hidden="false" customHeight="false" outlineLevel="0" collapsed="false">
      <c r="B13" s="9" t="s">
        <v>102</v>
      </c>
      <c r="P13" s="34" t="n">
        <f aca="false">I5/36/הנחות!B7</f>
        <v>9.25925925925926</v>
      </c>
    </row>
    <row r="14" customFormat="false" ht="26.85" hidden="false" customHeight="false" outlineLevel="0" collapsed="false">
      <c r="B14" s="9" t="s">
        <v>103</v>
      </c>
      <c r="P14" s="35" t="n">
        <f aca="false">I9/הנחות!B11</f>
        <v>0.03</v>
      </c>
    </row>
  </sheetData>
  <conditionalFormatting sqref="O5:O9">
    <cfRule type="cellIs" priority="2" operator="equal" aboveAverage="0" equalAverage="0" bottom="0" percent="0" rank="0" text="" dxfId="0">
      <formula>"פסול – מחוץ לטווח"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11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7.15" hidden="false" customHeight="false" outlineLevel="0" collapsed="false">
      <c r="A1" s="7" t="s">
        <v>104</v>
      </c>
    </row>
    <row r="2" customFormat="false" ht="30" hidden="false" customHeight="true" outlineLevel="0" collapsed="false">
      <c r="B2" s="36" t="s">
        <v>105</v>
      </c>
    </row>
    <row r="4" customFormat="false" ht="45" hidden="false" customHeight="true" outlineLevel="0" collapsed="false">
      <c r="A4" s="8" t="s">
        <v>67</v>
      </c>
      <c r="B4" s="8" t="s">
        <v>68</v>
      </c>
      <c r="C4" s="8" t="s">
        <v>106</v>
      </c>
      <c r="D4" s="8" t="s">
        <v>107</v>
      </c>
      <c r="E4" s="8" t="s">
        <v>75</v>
      </c>
      <c r="F4" s="8" t="s">
        <v>76</v>
      </c>
      <c r="G4" s="8" t="s">
        <v>108</v>
      </c>
      <c r="H4" s="8" t="s">
        <v>109</v>
      </c>
      <c r="I4" s="8" t="s">
        <v>81</v>
      </c>
    </row>
    <row r="5" customFormat="false" ht="15" hidden="false" customHeight="false" outlineLevel="0" collapsed="false">
      <c r="A5" s="19" t="n">
        <v>1</v>
      </c>
      <c r="B5" s="19" t="s">
        <v>110</v>
      </c>
      <c r="C5" s="24" t="n">
        <v>0</v>
      </c>
      <c r="D5" s="24" t="n">
        <v>45</v>
      </c>
      <c r="E5" s="37" t="n">
        <f aca="false">D5</f>
        <v>45</v>
      </c>
      <c r="F5" s="10" t="n">
        <v>15</v>
      </c>
      <c r="G5" s="38" t="n">
        <v>0</v>
      </c>
      <c r="H5" s="20" t="n">
        <f aca="false">(E5-F5)*G5</f>
        <v>0</v>
      </c>
      <c r="I5" s="19" t="str">
        <f aca="false">IF(OR(E5&lt;C5,E5&gt;D5),"פסול – מחוץ לטווח","תקין")</f>
        <v>תקין</v>
      </c>
    </row>
    <row r="6" customFormat="false" ht="15" hidden="false" customHeight="false" outlineLevel="0" collapsed="false">
      <c r="A6" s="19" t="n">
        <v>2</v>
      </c>
      <c r="B6" s="19" t="s">
        <v>111</v>
      </c>
      <c r="C6" s="24" t="n">
        <v>200</v>
      </c>
      <c r="D6" s="24" t="n">
        <v>780</v>
      </c>
      <c r="E6" s="37" t="n">
        <f aca="false">D6</f>
        <v>780</v>
      </c>
      <c r="F6" s="10" t="n">
        <v>600</v>
      </c>
      <c r="G6" s="38" t="n">
        <v>0.2</v>
      </c>
      <c r="H6" s="20" t="n">
        <f aca="false">(E6-F6)*G6</f>
        <v>36</v>
      </c>
      <c r="I6" s="19" t="str">
        <f aca="false">IF(OR(E6&lt;C6,E6&gt;D6),"פסול – מחוץ לטווח","תקין")</f>
        <v>תקין</v>
      </c>
    </row>
    <row r="7" customFormat="false" ht="15" hidden="false" customHeight="false" outlineLevel="0" collapsed="false">
      <c r="A7" s="19" t="n">
        <v>3</v>
      </c>
      <c r="B7" s="19" t="s">
        <v>112</v>
      </c>
      <c r="C7" s="24" t="n">
        <v>50</v>
      </c>
      <c r="D7" s="24" t="n">
        <v>350</v>
      </c>
      <c r="E7" s="37" t="n">
        <f aca="false">D7</f>
        <v>350</v>
      </c>
      <c r="F7" s="10" t="n">
        <v>120</v>
      </c>
      <c r="G7" s="38" t="n">
        <v>0.2</v>
      </c>
      <c r="H7" s="20" t="n">
        <f aca="false">(E7-F7)*G7</f>
        <v>46</v>
      </c>
      <c r="I7" s="19" t="str">
        <f aca="false">IF(OR(E7&lt;C7,E7&gt;D7),"פסול – מחוץ לטווח","תקין")</f>
        <v>תקין</v>
      </c>
    </row>
    <row r="8" customFormat="false" ht="15" hidden="false" customHeight="false" outlineLevel="0" collapsed="false">
      <c r="A8" s="19" t="n">
        <v>4</v>
      </c>
      <c r="B8" s="19" t="s">
        <v>113</v>
      </c>
      <c r="C8" s="24" t="n">
        <v>100</v>
      </c>
      <c r="D8" s="24" t="n">
        <v>600</v>
      </c>
      <c r="E8" s="37" t="n">
        <f aca="false">D8</f>
        <v>600</v>
      </c>
      <c r="F8" s="10" t="n">
        <v>200</v>
      </c>
      <c r="G8" s="38" t="n">
        <v>0.1</v>
      </c>
      <c r="H8" s="20" t="n">
        <f aca="false">(E8-F8)*G8</f>
        <v>40</v>
      </c>
      <c r="I8" s="19" t="str">
        <f aca="false">IF(OR(E8&lt;C8,E8&gt;D8),"פסול – מחוץ לטווח","תקין")</f>
        <v>תקין</v>
      </c>
    </row>
    <row r="9" customFormat="false" ht="15" hidden="false" customHeight="false" outlineLevel="0" collapsed="false">
      <c r="A9" s="19" t="n">
        <v>5</v>
      </c>
      <c r="B9" s="19" t="s">
        <v>114</v>
      </c>
      <c r="C9" s="24" t="n">
        <v>20</v>
      </c>
      <c r="D9" s="24" t="n">
        <v>40</v>
      </c>
      <c r="E9" s="37" t="n">
        <f aca="false">D9</f>
        <v>40</v>
      </c>
      <c r="F9" s="10" t="n">
        <v>15</v>
      </c>
      <c r="G9" s="38" t="n">
        <v>0.5</v>
      </c>
      <c r="H9" s="20" t="n">
        <f aca="false">(E9-F9)*G9</f>
        <v>12.5</v>
      </c>
      <c r="I9" s="19" t="str">
        <f aca="false">IF(OR(E9&lt;C9,E9&gt;D9),"פסול – מחוץ לטווח","תקין")</f>
        <v>תקין</v>
      </c>
    </row>
    <row r="10" customFormat="false" ht="15" hidden="false" customHeight="false" outlineLevel="0" collapsed="false">
      <c r="A10" s="19" t="n">
        <v>6</v>
      </c>
      <c r="B10" s="19" t="s">
        <v>115</v>
      </c>
      <c r="C10" s="24" t="n">
        <v>250</v>
      </c>
      <c r="D10" s="24" t="n">
        <v>330</v>
      </c>
      <c r="E10" s="37" t="n">
        <f aca="false">D10</f>
        <v>330</v>
      </c>
      <c r="F10" s="10" t="n">
        <v>150</v>
      </c>
      <c r="G10" s="38" t="n">
        <v>2</v>
      </c>
      <c r="H10" s="20" t="n">
        <f aca="false">(E10-F10)*G10</f>
        <v>360</v>
      </c>
      <c r="I10" s="19" t="str">
        <f aca="false">IF(OR(E10&lt;C10,E10&gt;D10),"פסול – מחוץ לטווח","תקין")</f>
        <v>תקין</v>
      </c>
    </row>
    <row r="11" customFormat="false" ht="15" hidden="false" customHeight="false" outlineLevel="0" collapsed="false">
      <c r="A11" s="19" t="n">
        <v>7</v>
      </c>
      <c r="B11" s="19" t="s">
        <v>116</v>
      </c>
      <c r="C11" s="24" t="n">
        <v>300</v>
      </c>
      <c r="D11" s="24" t="n">
        <v>450</v>
      </c>
      <c r="E11" s="37" t="n">
        <f aca="false">D11</f>
        <v>450</v>
      </c>
      <c r="F11" s="10" t="n">
        <v>200</v>
      </c>
      <c r="G11" s="38" t="n">
        <v>0</v>
      </c>
      <c r="H11" s="20" t="n">
        <f aca="false">(E11-F11)*G11</f>
        <v>0</v>
      </c>
      <c r="I11" s="19" t="str">
        <f aca="false">IF(OR(E11&lt;C11,E11&gt;D11),"פסול – מחוץ לטווח","תקין")</f>
        <v>תקין</v>
      </c>
    </row>
    <row r="12" customFormat="false" ht="15" hidden="false" customHeight="false" outlineLevel="0" collapsed="false">
      <c r="A12" s="19" t="n">
        <v>8</v>
      </c>
      <c r="B12" s="19" t="s">
        <v>117</v>
      </c>
      <c r="C12" s="24" t="n">
        <v>100</v>
      </c>
      <c r="D12" s="24" t="n">
        <v>150</v>
      </c>
      <c r="E12" s="37" t="n">
        <f aca="false">D12</f>
        <v>150</v>
      </c>
      <c r="F12" s="10" t="n">
        <v>100</v>
      </c>
      <c r="G12" s="38" t="n">
        <v>0</v>
      </c>
      <c r="H12" s="20" t="n">
        <f aca="false">(E12-F12)*G12</f>
        <v>0</v>
      </c>
      <c r="I12" s="19" t="str">
        <f aca="false">IF(OR(E12&lt;C12,E12&gt;D12),"פסול – מחוץ לטווח","תקין")</f>
        <v>תקין</v>
      </c>
    </row>
    <row r="13" customFormat="false" ht="15" hidden="false" customHeight="false" outlineLevel="0" collapsed="false">
      <c r="A13" s="19" t="n">
        <v>9</v>
      </c>
      <c r="B13" s="19" t="s">
        <v>118</v>
      </c>
      <c r="C13" s="24" t="n">
        <v>200</v>
      </c>
      <c r="D13" s="24" t="n">
        <v>350</v>
      </c>
      <c r="E13" s="37" t="n">
        <f aca="false">D13</f>
        <v>350</v>
      </c>
      <c r="F13" s="10" t="n">
        <v>300</v>
      </c>
      <c r="G13" s="38" t="n">
        <v>0</v>
      </c>
      <c r="H13" s="20" t="n">
        <f aca="false">(E13-F13)*G13</f>
        <v>0</v>
      </c>
      <c r="I13" s="19" t="str">
        <f aca="false">IF(OR(E13&lt;C13,E13&gt;D13),"פסול – מחוץ לטווח","תקין")</f>
        <v>תקין</v>
      </c>
    </row>
    <row r="14" customFormat="false" ht="15" hidden="false" customHeight="false" outlineLevel="0" collapsed="false">
      <c r="A14" s="19" t="n">
        <v>10</v>
      </c>
      <c r="B14" s="19" t="s">
        <v>119</v>
      </c>
      <c r="C14" s="24" t="n">
        <v>250</v>
      </c>
      <c r="D14" s="24" t="n">
        <v>330</v>
      </c>
      <c r="E14" s="37" t="n">
        <f aca="false">D14</f>
        <v>330</v>
      </c>
      <c r="F14" s="10" t="n">
        <v>150</v>
      </c>
      <c r="G14" s="38" t="n">
        <v>0.1</v>
      </c>
      <c r="H14" s="20" t="n">
        <f aca="false">(E14-F14)*G14</f>
        <v>18</v>
      </c>
      <c r="I14" s="19" t="str">
        <f aca="false">IF(OR(E14&lt;C14,E14&gt;D14),"פסול – מחוץ לטווח","תקין")</f>
        <v>תקין</v>
      </c>
    </row>
    <row r="15" customFormat="false" ht="15" hidden="false" customHeight="false" outlineLevel="0" collapsed="false">
      <c r="B15" s="30" t="s">
        <v>120</v>
      </c>
      <c r="H15" s="32" t="n">
        <f aca="false">SUM(H5:H14)</f>
        <v>512.5</v>
      </c>
    </row>
    <row r="16" customFormat="false" ht="26.85" hidden="false" customHeight="false" outlineLevel="0" collapsed="false">
      <c r="B16" s="9" t="s">
        <v>121</v>
      </c>
    </row>
  </sheetData>
  <conditionalFormatting sqref="I5:I14">
    <cfRule type="cellIs" priority="2" operator="equal" aboveAverage="0" equalAverage="0" bottom="0" percent="0" rank="0" text="" dxfId="0">
      <formula>"פסול – מחוץ לטווח"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7" t="s">
        <v>122</v>
      </c>
    </row>
    <row r="3" customFormat="false" ht="45" hidden="false" customHeight="true" outlineLevel="0" collapsed="false">
      <c r="A3" s="8" t="s">
        <v>123</v>
      </c>
      <c r="B3" s="8" t="s">
        <v>124</v>
      </c>
      <c r="C3" s="8" t="s">
        <v>125</v>
      </c>
      <c r="D3" s="8" t="s">
        <v>126</v>
      </c>
      <c r="E3" s="8" t="s">
        <v>100</v>
      </c>
      <c r="F3" s="8" t="s">
        <v>127</v>
      </c>
      <c r="G3" s="8" t="s">
        <v>128</v>
      </c>
      <c r="H3" s="8" t="s">
        <v>129</v>
      </c>
    </row>
    <row r="4" customFormat="false" ht="15" hidden="false" customHeight="false" outlineLevel="0" collapsed="false">
      <c r="A4" s="30" t="s">
        <v>130</v>
      </c>
      <c r="B4" s="39" t="n">
        <f aca="false">'סעיפי מחיר'!P10</f>
        <v>70</v>
      </c>
      <c r="C4" s="38" t="n">
        <v>16</v>
      </c>
      <c r="D4" s="38" t="n">
        <v>8</v>
      </c>
      <c r="E4" s="31" t="n">
        <f aca="false">B4+C4+D4</f>
        <v>94</v>
      </c>
      <c r="F4" s="21" t="n">
        <f aca="false">RANK(E4,$E$4:$E$7)</f>
        <v>1</v>
      </c>
      <c r="G4" s="19" t="str">
        <f aca="false">IF(C4&gt;=14,"עובר","בסיכון פסילה")</f>
        <v>עובר</v>
      </c>
      <c r="H4" s="28" t="n">
        <f aca="false">E4-MAX(E5:E7)</f>
        <v>2</v>
      </c>
    </row>
    <row r="5" customFormat="false" ht="15" hidden="false" customHeight="false" outlineLevel="0" collapsed="false">
      <c r="A5" s="19" t="s">
        <v>77</v>
      </c>
      <c r="B5" s="39" t="n">
        <f aca="false">'סעיפי מחיר'!Q10</f>
        <v>70</v>
      </c>
      <c r="C5" s="38" t="n">
        <v>15</v>
      </c>
      <c r="D5" s="38" t="n">
        <v>7</v>
      </c>
      <c r="E5" s="31" t="n">
        <f aca="false">B5+C5+D5</f>
        <v>92</v>
      </c>
      <c r="F5" s="21" t="n">
        <f aca="false">RANK(E5,$E$4:$E$7)</f>
        <v>2</v>
      </c>
      <c r="G5" s="19" t="str">
        <f aca="false">IF(C5&gt;=14,"עובר","בסיכון פסילה")</f>
        <v>עובר</v>
      </c>
      <c r="H5" s="28" t="n">
        <f aca="false">E5-MAX(E4,E6:E7)</f>
        <v>-2</v>
      </c>
    </row>
    <row r="6" customFormat="false" ht="15" hidden="false" customHeight="false" outlineLevel="0" collapsed="false">
      <c r="A6" s="19" t="s">
        <v>78</v>
      </c>
      <c r="B6" s="39" t="n">
        <f aca="false">'סעיפי מחיר'!R10</f>
        <v>70</v>
      </c>
      <c r="C6" s="38" t="n">
        <v>14</v>
      </c>
      <c r="D6" s="38" t="n">
        <v>7</v>
      </c>
      <c r="E6" s="31" t="n">
        <f aca="false">B6+C6+D6</f>
        <v>91</v>
      </c>
      <c r="F6" s="21" t="n">
        <f aca="false">RANK(E6,$E$4:$E$7)</f>
        <v>3</v>
      </c>
      <c r="G6" s="19" t="str">
        <f aca="false">IF(C6&gt;=14,"עובר","בסיכון פסילה")</f>
        <v>עובר</v>
      </c>
      <c r="H6" s="28" t="n">
        <f aca="false">E6-MAX(E4:E5,E7)</f>
        <v>-3</v>
      </c>
    </row>
    <row r="7" customFormat="false" ht="15" hidden="false" customHeight="false" outlineLevel="0" collapsed="false">
      <c r="A7" s="19" t="s">
        <v>79</v>
      </c>
      <c r="B7" s="39" t="n">
        <f aca="false">'סעיפי מחיר'!S10</f>
        <v>70</v>
      </c>
      <c r="C7" s="38" t="n">
        <v>12</v>
      </c>
      <c r="D7" s="38" t="n">
        <v>6</v>
      </c>
      <c r="E7" s="31" t="n">
        <f aca="false">B7+C7+D7</f>
        <v>88</v>
      </c>
      <c r="F7" s="21" t="n">
        <f aca="false">RANK(E7,$E$4:$E$7)</f>
        <v>4</v>
      </c>
      <c r="G7" s="19" t="str">
        <f aca="false">IF(C7&gt;=14,"עובר","בסיכון פסילה")</f>
        <v>בסיכון פסילה</v>
      </c>
      <c r="H7" s="28" t="n">
        <f aca="false">E7-MAX(E4:E6)</f>
        <v>-6</v>
      </c>
    </row>
    <row r="10" customFormat="false" ht="15" hidden="false" customHeight="false" outlineLevel="0" collapsed="false">
      <c r="A10" s="30" t="s">
        <v>131</v>
      </c>
    </row>
    <row r="11" customFormat="false" ht="15" hidden="false" customHeight="true" outlineLevel="0" collapsed="false">
      <c r="A11" s="19" t="s">
        <v>132</v>
      </c>
      <c r="B11" s="27" t="n">
        <f aca="false">'סעיפי מחיר'!T5</f>
        <v>2197.8021978022</v>
      </c>
      <c r="C11" s="9" t="s">
        <v>133</v>
      </c>
      <c r="D11" s="9"/>
      <c r="E11" s="9"/>
      <c r="F11" s="9"/>
      <c r="G11" s="9"/>
      <c r="H11" s="9"/>
    </row>
    <row r="12" customFormat="false" ht="15" hidden="false" customHeight="false" outlineLevel="0" collapsed="false">
      <c r="A12" s="19" t="s">
        <v>134</v>
      </c>
      <c r="B12" s="27" t="n">
        <f aca="false">'סעיפי מחיר'!T9</f>
        <v>6857.14285714286</v>
      </c>
      <c r="C12" s="9"/>
      <c r="D12" s="9"/>
      <c r="E12" s="9"/>
      <c r="F12" s="9"/>
      <c r="G12" s="9"/>
      <c r="H12" s="9"/>
    </row>
  </sheetData>
  <mergeCells count="1">
    <mergeCell ref="C11:H12"/>
  </mergeCells>
  <conditionalFormatting sqref="G4:G7">
    <cfRule type="cellIs" priority="2" operator="equal" aboveAverage="0" equalAverage="0" bottom="0" percent="0" rank="0" text="" dxfId="1">
      <formula>"בסיכון פסילה"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3"/>
  </cols>
  <sheetData>
    <row r="1" customFormat="false" ht="17.35" hidden="false" customHeight="false" outlineLevel="0" collapsed="false">
      <c r="A1" s="7" t="s">
        <v>135</v>
      </c>
    </row>
    <row r="2" customFormat="false" ht="15" hidden="false" customHeight="false" outlineLevel="0" collapsed="false">
      <c r="A2" s="30" t="s">
        <v>136</v>
      </c>
      <c r="B2" s="30"/>
      <c r="C2" s="32" t="n">
        <f aca="false">SUM(C8:G44)</f>
        <v>171637.5</v>
      </c>
      <c r="F2" s="30" t="s">
        <v>137</v>
      </c>
      <c r="G2" s="30"/>
      <c r="H2" s="32" t="n">
        <f aca="false">SUM(K8:K92)</f>
        <v>-102962.5</v>
      </c>
    </row>
    <row r="3" customFormat="false" ht="15" hidden="false" customHeight="false" outlineLevel="0" collapsed="false">
      <c r="A3" s="30" t="s">
        <v>138</v>
      </c>
      <c r="B3" s="30"/>
      <c r="C3" s="32" t="n">
        <f aca="false">SUM(H8:J44)</f>
        <v>236700</v>
      </c>
      <c r="F3" s="30" t="s">
        <v>139</v>
      </c>
      <c r="G3" s="30"/>
      <c r="H3" s="32" t="n">
        <f aca="false">K8+NPV(הנחות!B18/12,K9:K92)</f>
        <v>-80203.1049078206</v>
      </c>
    </row>
    <row r="4" customFormat="false" ht="15" hidden="false" customHeight="false" outlineLevel="0" collapsed="false">
      <c r="A4" s="30" t="s">
        <v>140</v>
      </c>
      <c r="B4" s="30"/>
      <c r="C4" s="32" t="n">
        <f aca="false">SUM(K8:K44)</f>
        <v>-65062.5</v>
      </c>
      <c r="F4" s="30" t="s">
        <v>141</v>
      </c>
      <c r="G4" s="30"/>
      <c r="H4" s="32" t="n">
        <f aca="false">(SUM(C8:G44)-SUM(H8:H44)-SUM(J8:J44))/36</f>
        <v>1951.04166666667</v>
      </c>
      <c r="J4" s="19" t="str">
        <f aca="false">IF(H4&lt;הנחות!B25,"העלות השוטפת גבוהה מנקודת האיזון","תקין")</f>
        <v>העלות השוטפת גבוהה מנקודת האיזון</v>
      </c>
    </row>
    <row r="5" customFormat="false" ht="15" hidden="false" customHeight="true" outlineLevel="0" collapsed="false">
      <c r="A5" s="9" t="s">
        <v>142</v>
      </c>
      <c r="B5" s="9"/>
      <c r="C5" s="9"/>
      <c r="D5" s="9"/>
      <c r="E5" s="9"/>
      <c r="F5" s="30" t="s">
        <v>143</v>
      </c>
      <c r="G5" s="30"/>
      <c r="H5" s="32" t="n">
        <f aca="false">MIN(L8:L92)</f>
        <v>-102962.5</v>
      </c>
    </row>
    <row r="6" customFormat="false" ht="15" hidden="false" customHeight="false" outlineLevel="0" collapsed="false">
      <c r="A6" s="9"/>
      <c r="B6" s="9"/>
      <c r="C6" s="9"/>
      <c r="D6" s="9"/>
      <c r="E6" s="9"/>
    </row>
    <row r="7" customFormat="false" ht="45" hidden="false" customHeight="true" outlineLevel="0" collapsed="false">
      <c r="A7" s="8" t="s">
        <v>144</v>
      </c>
      <c r="B7" s="8" t="s">
        <v>145</v>
      </c>
      <c r="C7" s="8" t="s">
        <v>146</v>
      </c>
      <c r="D7" s="8" t="s">
        <v>147</v>
      </c>
      <c r="E7" s="8" t="s">
        <v>148</v>
      </c>
      <c r="F7" s="8" t="s">
        <v>149</v>
      </c>
      <c r="G7" s="8" t="s">
        <v>150</v>
      </c>
      <c r="H7" s="8" t="s">
        <v>151</v>
      </c>
      <c r="I7" s="8" t="s">
        <v>152</v>
      </c>
      <c r="J7" s="8" t="s">
        <v>153</v>
      </c>
      <c r="K7" s="8" t="s">
        <v>154</v>
      </c>
      <c r="L7" s="8" t="s">
        <v>155</v>
      </c>
    </row>
    <row r="8" customFormat="false" ht="15" hidden="false" customHeight="false" outlineLevel="0" collapsed="false">
      <c r="A8" s="21" t="n">
        <v>0</v>
      </c>
      <c r="B8" s="21" t="n">
        <f aca="false">IF(A8&lt;=הנחות!$B$27,1,0)</f>
        <v>1</v>
      </c>
      <c r="C8" s="20" t="n">
        <f aca="false">IF(הנחות!$B$19=1,IF(A8=1,0.2*'סעיפי מחיר'!$I$5,0)+IF(A8=הנחות!$B$21,0.8*'סעיפי מחיר'!$I$5,0)*B8,IF(A8=1,0.2*'סעיפי מחיר'!$I$5,0)+IF(AND(A8&gt;=הנחות!$B$21,A8&lt;הנחות!$B$21+36),0.8*'סעיפי מחיר'!$I$5/36,0)*B8)</f>
        <v>0</v>
      </c>
      <c r="D8" s="20" t="n">
        <f aca="false">IF(A8=1,'סעיפי מחיר'!$I$6*'סעיפי מחיר'!$G$6+'סעיפי מחיר'!$I$7*'סעיפי מחיר'!$G$7,0)</f>
        <v>0</v>
      </c>
      <c r="E8" s="20" t="n">
        <f aca="false">IF(A8&gt;=הנחות!$B$21,'סעיפי מחיר'!$I$9,0)*B8</f>
        <v>0</v>
      </c>
      <c r="F8" s="20" t="n">
        <f aca="false">IF(A8&gt;36,'סעיפי מחיר'!$I$8/12,0)*B8</f>
        <v>0</v>
      </c>
      <c r="G8" s="20" t="n">
        <f aca="false">IF(A8&gt;=הנחות!$B$21,תוספות!$H$15,0)*B8</f>
        <v>0</v>
      </c>
      <c r="H8" s="20" t="n">
        <f aca="false">IF(A8=0,הנחות!$B$6,0)+IF(A8=1,הנחות!$B$4+הנחות!$B$5+'סעיפי מחיר'!$J$6*'סעיפי מחיר'!$G$6+'סעיפי מחיר'!$J$7*'סעיפי מחיר'!$G$7,0)</f>
        <v>8000</v>
      </c>
      <c r="I8" s="20" t="n">
        <f aca="false">IF(A8&gt;=1,הנחות!$B$25,0)*B8</f>
        <v>0</v>
      </c>
      <c r="J8" s="20" t="n">
        <f aca="false">IF(A8&gt;=הנחות!$B$21,הנחות!$B$26,0)*B8</f>
        <v>0</v>
      </c>
      <c r="K8" s="20" t="n">
        <f aca="false">C8+D8+E8+F8+G8-H8-I8-J8</f>
        <v>-8000</v>
      </c>
      <c r="L8" s="20" t="n">
        <f aca="false">K8</f>
        <v>-8000</v>
      </c>
    </row>
    <row r="9" customFormat="false" ht="15" hidden="false" customHeight="false" outlineLevel="0" collapsed="false">
      <c r="A9" s="21" t="n">
        <v>1</v>
      </c>
      <c r="B9" s="21" t="n">
        <f aca="false">IF(A9&lt;=הנחות!$B$27,1,0)</f>
        <v>1</v>
      </c>
      <c r="C9" s="20" t="n">
        <f aca="false">IF(הנחות!$B$19=1,IF(A9=1,0.2*'סעיפי מחיר'!$I$5,0)+IF(A9=הנחות!$B$21,0.8*'סעיפי מחיר'!$I$5,0)*B9,IF(A9=1,0.2*'סעיפי מחיר'!$I$5,0)+IF(AND(A9&gt;=הנחות!$B$21,A9&lt;הנחות!$B$21+36),0.8*'סעיפי מחיר'!$I$5/36,0)*B9)</f>
        <v>20000</v>
      </c>
      <c r="D9" s="20" t="n">
        <f aca="false">IF(A9=1,'סעיפי מחיר'!$I$6*'סעיפי מחיר'!$G$6+'סעיפי מחיר'!$I$7*'סעיפי מחיר'!$G$7,0)</f>
        <v>11700</v>
      </c>
      <c r="E9" s="20" t="n">
        <f aca="false">IF(A9&gt;=הנחות!$B$21,'סעיפי מחיר'!$I$9,0)*B9</f>
        <v>0</v>
      </c>
      <c r="F9" s="20" t="n">
        <f aca="false">IF(A9&gt;36,'סעיפי מחיר'!$I$8/12,0)*B9</f>
        <v>0</v>
      </c>
      <c r="G9" s="20" t="n">
        <f aca="false">IF(A9&gt;=הנחות!$B$21,תוספות!$H$15,0)*B9</f>
        <v>0</v>
      </c>
      <c r="H9" s="20" t="n">
        <f aca="false">IF(A9=0,הנחות!$B$6,0)+IF(A9=1,הנחות!$B$4+הנחות!$B$5+'סעיפי מחיר'!$J$6*'סעיפי מחיר'!$G$6+'סעיפי מחיר'!$J$7*'סעיפי מחיר'!$G$7,0)</f>
        <v>51400</v>
      </c>
      <c r="I9" s="20" t="n">
        <f aca="false">IF(A9&gt;=1,הנחות!$B$25,0)*B9</f>
        <v>3758.33333333333</v>
      </c>
      <c r="J9" s="20" t="n">
        <f aca="false">IF(A9&gt;=הנחות!$B$21,הנחות!$B$26,0)*B9</f>
        <v>0</v>
      </c>
      <c r="K9" s="20" t="n">
        <f aca="false">C9+D9+E9+F9+G9-H9-I9-J9</f>
        <v>-23458.3333333333</v>
      </c>
      <c r="L9" s="20" t="n">
        <f aca="false">L8+K9</f>
        <v>-31458.3333333333</v>
      </c>
    </row>
    <row r="10" customFormat="false" ht="15" hidden="false" customHeight="false" outlineLevel="0" collapsed="false">
      <c r="A10" s="21" t="n">
        <v>2</v>
      </c>
      <c r="B10" s="21" t="n">
        <f aca="false">IF(A10&lt;=הנחות!$B$27,1,0)</f>
        <v>1</v>
      </c>
      <c r="C10" s="20" t="n">
        <f aca="false">IF(הנחות!$B$19=1,IF(A10=1,0.2*'סעיפי מחיר'!$I$5,0)+IF(A10=הנחות!$B$21,0.8*'סעיפי מחיר'!$I$5,0)*B10,IF(A10=1,0.2*'סעיפי מחיר'!$I$5,0)+IF(AND(A10&gt;=הנחות!$B$21,A10&lt;הנחות!$B$21+36),0.8*'סעיפי מחיר'!$I$5/36,0)*B10)</f>
        <v>80000</v>
      </c>
      <c r="D10" s="20" t="n">
        <f aca="false">IF(A10=1,'סעיפי מחיר'!$I$6*'סעיפי מחיר'!$G$6+'סעיפי מחיר'!$I$7*'סעיפי מחיר'!$G$7,0)</f>
        <v>0</v>
      </c>
      <c r="E10" s="20" t="n">
        <f aca="false">IF(A10&gt;=הנחות!$B$21,'סעיפי מחיר'!$I$9,0)*B10</f>
        <v>1200</v>
      </c>
      <c r="F10" s="20" t="n">
        <f aca="false">IF(A10&gt;36,'סעיפי מחיר'!$I$8/12,0)*B10</f>
        <v>0</v>
      </c>
      <c r="G10" s="20" t="n">
        <f aca="false">IF(A10&gt;=הנחות!$B$21,תוספות!$H$15,0)*B10</f>
        <v>512.5</v>
      </c>
      <c r="H10" s="20" t="n">
        <f aca="false">IF(A10=0,הנחות!$B$6,0)+IF(A10=1,הנחות!$B$4+הנחות!$B$5+'סעיפי מחיר'!$J$6*'סעיפי מחיר'!$G$6+'סעיפי מחיר'!$J$7*'סעיפי מחיר'!$G$7,0)</f>
        <v>0</v>
      </c>
      <c r="I10" s="20" t="n">
        <f aca="false">IF(A10&gt;=1,הנחות!$B$25,0)*B10</f>
        <v>3758.33333333333</v>
      </c>
      <c r="J10" s="20" t="n">
        <f aca="false">IF(A10&gt;=הנחות!$B$21,הנחות!$B$26,0)*B10</f>
        <v>1200</v>
      </c>
      <c r="K10" s="20" t="n">
        <f aca="false">C10+D10+E10+F10+G10-H10-I10-J10</f>
        <v>76754.1666666667</v>
      </c>
      <c r="L10" s="20" t="n">
        <f aca="false">L9+K10</f>
        <v>45295.8333333333</v>
      </c>
    </row>
    <row r="11" customFormat="false" ht="15" hidden="false" customHeight="false" outlineLevel="0" collapsed="false">
      <c r="A11" s="21" t="n">
        <v>3</v>
      </c>
      <c r="B11" s="21" t="n">
        <f aca="false">IF(A11&lt;=הנחות!$B$27,1,0)</f>
        <v>1</v>
      </c>
      <c r="C11" s="20" t="n">
        <f aca="false">IF(הנחות!$B$19=1,IF(A11=1,0.2*'סעיפי מחיר'!$I$5,0)+IF(A11=הנחות!$B$21,0.8*'סעיפי מחיר'!$I$5,0)*B11,IF(A11=1,0.2*'סעיפי מחיר'!$I$5,0)+IF(AND(A11&gt;=הנחות!$B$21,A11&lt;הנחות!$B$21+36),0.8*'סעיפי מחיר'!$I$5/36,0)*B11)</f>
        <v>0</v>
      </c>
      <c r="D11" s="20" t="n">
        <f aca="false">IF(A11=1,'סעיפי מחיר'!$I$6*'סעיפי מחיר'!$G$6+'סעיפי מחיר'!$I$7*'סעיפי מחיר'!$G$7,0)</f>
        <v>0</v>
      </c>
      <c r="E11" s="20" t="n">
        <f aca="false">IF(A11&gt;=הנחות!$B$21,'סעיפי מחיר'!$I$9,0)*B11</f>
        <v>1200</v>
      </c>
      <c r="F11" s="20" t="n">
        <f aca="false">IF(A11&gt;36,'סעיפי מחיר'!$I$8/12,0)*B11</f>
        <v>0</v>
      </c>
      <c r="G11" s="20" t="n">
        <f aca="false">IF(A11&gt;=הנחות!$B$21,תוספות!$H$15,0)*B11</f>
        <v>512.5</v>
      </c>
      <c r="H11" s="20" t="n">
        <f aca="false">IF(A11=0,הנחות!$B$6,0)+IF(A11=1,הנחות!$B$4+הנחות!$B$5+'סעיפי מחיר'!$J$6*'סעיפי מחיר'!$G$6+'סעיפי מחיר'!$J$7*'סעיפי מחיר'!$G$7,0)</f>
        <v>0</v>
      </c>
      <c r="I11" s="20" t="n">
        <f aca="false">IF(A11&gt;=1,הנחות!$B$25,0)*B11</f>
        <v>3758.33333333333</v>
      </c>
      <c r="J11" s="20" t="n">
        <f aca="false">IF(A11&gt;=הנחות!$B$21,הנחות!$B$26,0)*B11</f>
        <v>1200</v>
      </c>
      <c r="K11" s="20" t="n">
        <f aca="false">C11+D11+E11+F11+G11-H11-I11-J11</f>
        <v>-3245.83333333333</v>
      </c>
      <c r="L11" s="20" t="n">
        <f aca="false">L10+K11</f>
        <v>42050</v>
      </c>
    </row>
    <row r="12" customFormat="false" ht="15" hidden="false" customHeight="false" outlineLevel="0" collapsed="false">
      <c r="A12" s="21" t="n">
        <v>4</v>
      </c>
      <c r="B12" s="21" t="n">
        <f aca="false">IF(A12&lt;=הנחות!$B$27,1,0)</f>
        <v>1</v>
      </c>
      <c r="C12" s="20" t="n">
        <f aca="false">IF(הנחות!$B$19=1,IF(A12=1,0.2*'סעיפי מחיר'!$I$5,0)+IF(A12=הנחות!$B$21,0.8*'סעיפי מחיר'!$I$5,0)*B12,IF(A12=1,0.2*'סעיפי מחיר'!$I$5,0)+IF(AND(A12&gt;=הנחות!$B$21,A12&lt;הנחות!$B$21+36),0.8*'סעיפי מחיר'!$I$5/36,0)*B12)</f>
        <v>0</v>
      </c>
      <c r="D12" s="20" t="n">
        <f aca="false">IF(A12=1,'סעיפי מחיר'!$I$6*'סעיפי מחיר'!$G$6+'סעיפי מחיר'!$I$7*'סעיפי מחיר'!$G$7,0)</f>
        <v>0</v>
      </c>
      <c r="E12" s="20" t="n">
        <f aca="false">IF(A12&gt;=הנחות!$B$21,'סעיפי מחיר'!$I$9,0)*B12</f>
        <v>1200</v>
      </c>
      <c r="F12" s="20" t="n">
        <f aca="false">IF(A12&gt;36,'סעיפי מחיר'!$I$8/12,0)*B12</f>
        <v>0</v>
      </c>
      <c r="G12" s="20" t="n">
        <f aca="false">IF(A12&gt;=הנחות!$B$21,תוספות!$H$15,0)*B12</f>
        <v>512.5</v>
      </c>
      <c r="H12" s="20" t="n">
        <f aca="false">IF(A12=0,הנחות!$B$6,0)+IF(A12=1,הנחות!$B$4+הנחות!$B$5+'סעיפי מחיר'!$J$6*'סעיפי מחיר'!$G$6+'סעיפי מחיר'!$J$7*'סעיפי מחיר'!$G$7,0)</f>
        <v>0</v>
      </c>
      <c r="I12" s="20" t="n">
        <f aca="false">IF(A12&gt;=1,הנחות!$B$25,0)*B12</f>
        <v>3758.33333333333</v>
      </c>
      <c r="J12" s="20" t="n">
        <f aca="false">IF(A12&gt;=הנחות!$B$21,הנחות!$B$26,0)*B12</f>
        <v>1200</v>
      </c>
      <c r="K12" s="20" t="n">
        <f aca="false">C12+D12+E12+F12+G12-H12-I12-J12</f>
        <v>-3245.83333333333</v>
      </c>
      <c r="L12" s="20" t="n">
        <f aca="false">L11+K12</f>
        <v>38804.1666666667</v>
      </c>
    </row>
    <row r="13" customFormat="false" ht="15" hidden="false" customHeight="false" outlineLevel="0" collapsed="false">
      <c r="A13" s="21" t="n">
        <v>5</v>
      </c>
      <c r="B13" s="21" t="n">
        <f aca="false">IF(A13&lt;=הנחות!$B$27,1,0)</f>
        <v>1</v>
      </c>
      <c r="C13" s="20" t="n">
        <f aca="false">IF(הנחות!$B$19=1,IF(A13=1,0.2*'סעיפי מחיר'!$I$5,0)+IF(A13=הנחות!$B$21,0.8*'סעיפי מחיר'!$I$5,0)*B13,IF(A13=1,0.2*'סעיפי מחיר'!$I$5,0)+IF(AND(A13&gt;=הנחות!$B$21,A13&lt;הנחות!$B$21+36),0.8*'סעיפי מחיר'!$I$5/36,0)*B13)</f>
        <v>0</v>
      </c>
      <c r="D13" s="20" t="n">
        <f aca="false">IF(A13=1,'סעיפי מחיר'!$I$6*'סעיפי מחיר'!$G$6+'סעיפי מחיר'!$I$7*'סעיפי מחיר'!$G$7,0)</f>
        <v>0</v>
      </c>
      <c r="E13" s="20" t="n">
        <f aca="false">IF(A13&gt;=הנחות!$B$21,'סעיפי מחיר'!$I$9,0)*B13</f>
        <v>1200</v>
      </c>
      <c r="F13" s="20" t="n">
        <f aca="false">IF(A13&gt;36,'סעיפי מחיר'!$I$8/12,0)*B13</f>
        <v>0</v>
      </c>
      <c r="G13" s="20" t="n">
        <f aca="false">IF(A13&gt;=הנחות!$B$21,תוספות!$H$15,0)*B13</f>
        <v>512.5</v>
      </c>
      <c r="H13" s="20" t="n">
        <f aca="false">IF(A13=0,הנחות!$B$6,0)+IF(A13=1,הנחות!$B$4+הנחות!$B$5+'סעיפי מחיר'!$J$6*'סעיפי מחיר'!$G$6+'סעיפי מחיר'!$J$7*'סעיפי מחיר'!$G$7,0)</f>
        <v>0</v>
      </c>
      <c r="I13" s="20" t="n">
        <f aca="false">IF(A13&gt;=1,הנחות!$B$25,0)*B13</f>
        <v>3758.33333333333</v>
      </c>
      <c r="J13" s="20" t="n">
        <f aca="false">IF(A13&gt;=הנחות!$B$21,הנחות!$B$26,0)*B13</f>
        <v>1200</v>
      </c>
      <c r="K13" s="20" t="n">
        <f aca="false">C13+D13+E13+F13+G13-H13-I13-J13</f>
        <v>-3245.83333333333</v>
      </c>
      <c r="L13" s="20" t="n">
        <f aca="false">L12+K13</f>
        <v>35558.3333333333</v>
      </c>
    </row>
    <row r="14" customFormat="false" ht="15" hidden="false" customHeight="false" outlineLevel="0" collapsed="false">
      <c r="A14" s="21" t="n">
        <v>6</v>
      </c>
      <c r="B14" s="21" t="n">
        <f aca="false">IF(A14&lt;=הנחות!$B$27,1,0)</f>
        <v>1</v>
      </c>
      <c r="C14" s="20" t="n">
        <f aca="false">IF(הנחות!$B$19=1,IF(A14=1,0.2*'סעיפי מחיר'!$I$5,0)+IF(A14=הנחות!$B$21,0.8*'סעיפי מחיר'!$I$5,0)*B14,IF(A14=1,0.2*'סעיפי מחיר'!$I$5,0)+IF(AND(A14&gt;=הנחות!$B$21,A14&lt;הנחות!$B$21+36),0.8*'סעיפי מחיר'!$I$5/36,0)*B14)</f>
        <v>0</v>
      </c>
      <c r="D14" s="20" t="n">
        <f aca="false">IF(A14=1,'סעיפי מחיר'!$I$6*'סעיפי מחיר'!$G$6+'סעיפי מחיר'!$I$7*'סעיפי מחיר'!$G$7,0)</f>
        <v>0</v>
      </c>
      <c r="E14" s="20" t="n">
        <f aca="false">IF(A14&gt;=הנחות!$B$21,'סעיפי מחיר'!$I$9,0)*B14</f>
        <v>1200</v>
      </c>
      <c r="F14" s="20" t="n">
        <f aca="false">IF(A14&gt;36,'סעיפי מחיר'!$I$8/12,0)*B14</f>
        <v>0</v>
      </c>
      <c r="G14" s="20" t="n">
        <f aca="false">IF(A14&gt;=הנחות!$B$21,תוספות!$H$15,0)*B14</f>
        <v>512.5</v>
      </c>
      <c r="H14" s="20" t="n">
        <f aca="false">IF(A14=0,הנחות!$B$6,0)+IF(A14=1,הנחות!$B$4+הנחות!$B$5+'סעיפי מחיר'!$J$6*'סעיפי מחיר'!$G$6+'סעיפי מחיר'!$J$7*'סעיפי מחיר'!$G$7,0)</f>
        <v>0</v>
      </c>
      <c r="I14" s="20" t="n">
        <f aca="false">IF(A14&gt;=1,הנחות!$B$25,0)*B14</f>
        <v>3758.33333333333</v>
      </c>
      <c r="J14" s="20" t="n">
        <f aca="false">IF(A14&gt;=הנחות!$B$21,הנחות!$B$26,0)*B14</f>
        <v>1200</v>
      </c>
      <c r="K14" s="20" t="n">
        <f aca="false">C14+D14+E14+F14+G14-H14-I14-J14</f>
        <v>-3245.83333333333</v>
      </c>
      <c r="L14" s="20" t="n">
        <f aca="false">L13+K14</f>
        <v>32312.5</v>
      </c>
    </row>
    <row r="15" customFormat="false" ht="15" hidden="false" customHeight="false" outlineLevel="0" collapsed="false">
      <c r="A15" s="21" t="n">
        <v>7</v>
      </c>
      <c r="B15" s="21" t="n">
        <f aca="false">IF(A15&lt;=הנחות!$B$27,1,0)</f>
        <v>1</v>
      </c>
      <c r="C15" s="20" t="n">
        <f aca="false">IF(הנחות!$B$19=1,IF(A15=1,0.2*'סעיפי מחיר'!$I$5,0)+IF(A15=הנחות!$B$21,0.8*'סעיפי מחיר'!$I$5,0)*B15,IF(A15=1,0.2*'סעיפי מחיר'!$I$5,0)+IF(AND(A15&gt;=הנחות!$B$21,A15&lt;הנחות!$B$21+36),0.8*'סעיפי מחיר'!$I$5/36,0)*B15)</f>
        <v>0</v>
      </c>
      <c r="D15" s="20" t="n">
        <f aca="false">IF(A15=1,'סעיפי מחיר'!$I$6*'סעיפי מחיר'!$G$6+'סעיפי מחיר'!$I$7*'סעיפי מחיר'!$G$7,0)</f>
        <v>0</v>
      </c>
      <c r="E15" s="20" t="n">
        <f aca="false">IF(A15&gt;=הנחות!$B$21,'סעיפי מחיר'!$I$9,0)*B15</f>
        <v>1200</v>
      </c>
      <c r="F15" s="20" t="n">
        <f aca="false">IF(A15&gt;36,'סעיפי מחיר'!$I$8/12,0)*B15</f>
        <v>0</v>
      </c>
      <c r="G15" s="20" t="n">
        <f aca="false">IF(A15&gt;=הנחות!$B$21,תוספות!$H$15,0)*B15</f>
        <v>512.5</v>
      </c>
      <c r="H15" s="20" t="n">
        <f aca="false">IF(A15=0,הנחות!$B$6,0)+IF(A15=1,הנחות!$B$4+הנחות!$B$5+'סעיפי מחיר'!$J$6*'סעיפי מחיר'!$G$6+'סעיפי מחיר'!$J$7*'סעיפי מחיר'!$G$7,0)</f>
        <v>0</v>
      </c>
      <c r="I15" s="20" t="n">
        <f aca="false">IF(A15&gt;=1,הנחות!$B$25,0)*B15</f>
        <v>3758.33333333333</v>
      </c>
      <c r="J15" s="20" t="n">
        <f aca="false">IF(A15&gt;=הנחות!$B$21,הנחות!$B$26,0)*B15</f>
        <v>1200</v>
      </c>
      <c r="K15" s="20" t="n">
        <f aca="false">C15+D15+E15+F15+G15-H15-I15-J15</f>
        <v>-3245.83333333333</v>
      </c>
      <c r="L15" s="20" t="n">
        <f aca="false">L14+K15</f>
        <v>29066.6666666667</v>
      </c>
    </row>
    <row r="16" customFormat="false" ht="15" hidden="false" customHeight="false" outlineLevel="0" collapsed="false">
      <c r="A16" s="21" t="n">
        <v>8</v>
      </c>
      <c r="B16" s="21" t="n">
        <f aca="false">IF(A16&lt;=הנחות!$B$27,1,0)</f>
        <v>1</v>
      </c>
      <c r="C16" s="20" t="n">
        <f aca="false">IF(הנחות!$B$19=1,IF(A16=1,0.2*'סעיפי מחיר'!$I$5,0)+IF(A16=הנחות!$B$21,0.8*'סעיפי מחיר'!$I$5,0)*B16,IF(A16=1,0.2*'סעיפי מחיר'!$I$5,0)+IF(AND(A16&gt;=הנחות!$B$21,A16&lt;הנחות!$B$21+36),0.8*'סעיפי מחיר'!$I$5/36,0)*B16)</f>
        <v>0</v>
      </c>
      <c r="D16" s="20" t="n">
        <f aca="false">IF(A16=1,'סעיפי מחיר'!$I$6*'סעיפי מחיר'!$G$6+'סעיפי מחיר'!$I$7*'סעיפי מחיר'!$G$7,0)</f>
        <v>0</v>
      </c>
      <c r="E16" s="20" t="n">
        <f aca="false">IF(A16&gt;=הנחות!$B$21,'סעיפי מחיר'!$I$9,0)*B16</f>
        <v>1200</v>
      </c>
      <c r="F16" s="20" t="n">
        <f aca="false">IF(A16&gt;36,'סעיפי מחיר'!$I$8/12,0)*B16</f>
        <v>0</v>
      </c>
      <c r="G16" s="20" t="n">
        <f aca="false">IF(A16&gt;=הנחות!$B$21,תוספות!$H$15,0)*B16</f>
        <v>512.5</v>
      </c>
      <c r="H16" s="20" t="n">
        <f aca="false">IF(A16=0,הנחות!$B$6,0)+IF(A16=1,הנחות!$B$4+הנחות!$B$5+'סעיפי מחיר'!$J$6*'סעיפי מחיר'!$G$6+'סעיפי מחיר'!$J$7*'סעיפי מחיר'!$G$7,0)</f>
        <v>0</v>
      </c>
      <c r="I16" s="20" t="n">
        <f aca="false">IF(A16&gt;=1,הנחות!$B$25,0)*B16</f>
        <v>3758.33333333333</v>
      </c>
      <c r="J16" s="20" t="n">
        <f aca="false">IF(A16&gt;=הנחות!$B$21,הנחות!$B$26,0)*B16</f>
        <v>1200</v>
      </c>
      <c r="K16" s="20" t="n">
        <f aca="false">C16+D16+E16+F16+G16-H16-I16-J16</f>
        <v>-3245.83333333333</v>
      </c>
      <c r="L16" s="20" t="n">
        <f aca="false">L15+K16</f>
        <v>25820.8333333333</v>
      </c>
    </row>
    <row r="17" customFormat="false" ht="15" hidden="false" customHeight="false" outlineLevel="0" collapsed="false">
      <c r="A17" s="21" t="n">
        <v>9</v>
      </c>
      <c r="B17" s="21" t="n">
        <f aca="false">IF(A17&lt;=הנחות!$B$27,1,0)</f>
        <v>1</v>
      </c>
      <c r="C17" s="20" t="n">
        <f aca="false">IF(הנחות!$B$19=1,IF(A17=1,0.2*'סעיפי מחיר'!$I$5,0)+IF(A17=הנחות!$B$21,0.8*'סעיפי מחיר'!$I$5,0)*B17,IF(A17=1,0.2*'סעיפי מחיר'!$I$5,0)+IF(AND(A17&gt;=הנחות!$B$21,A17&lt;הנחות!$B$21+36),0.8*'סעיפי מחיר'!$I$5/36,0)*B17)</f>
        <v>0</v>
      </c>
      <c r="D17" s="20" t="n">
        <f aca="false">IF(A17=1,'סעיפי מחיר'!$I$6*'סעיפי מחיר'!$G$6+'סעיפי מחיר'!$I$7*'סעיפי מחיר'!$G$7,0)</f>
        <v>0</v>
      </c>
      <c r="E17" s="20" t="n">
        <f aca="false">IF(A17&gt;=הנחות!$B$21,'סעיפי מחיר'!$I$9,0)*B17</f>
        <v>1200</v>
      </c>
      <c r="F17" s="20" t="n">
        <f aca="false">IF(A17&gt;36,'סעיפי מחיר'!$I$8/12,0)*B17</f>
        <v>0</v>
      </c>
      <c r="G17" s="20" t="n">
        <f aca="false">IF(A17&gt;=הנחות!$B$21,תוספות!$H$15,0)*B17</f>
        <v>512.5</v>
      </c>
      <c r="H17" s="20" t="n">
        <f aca="false">IF(A17=0,הנחות!$B$6,0)+IF(A17=1,הנחות!$B$4+הנחות!$B$5+'סעיפי מחיר'!$J$6*'סעיפי מחיר'!$G$6+'סעיפי מחיר'!$J$7*'סעיפי מחיר'!$G$7,0)</f>
        <v>0</v>
      </c>
      <c r="I17" s="20" t="n">
        <f aca="false">IF(A17&gt;=1,הנחות!$B$25,0)*B17</f>
        <v>3758.33333333333</v>
      </c>
      <c r="J17" s="20" t="n">
        <f aca="false">IF(A17&gt;=הנחות!$B$21,הנחות!$B$26,0)*B17</f>
        <v>1200</v>
      </c>
      <c r="K17" s="20" t="n">
        <f aca="false">C17+D17+E17+F17+G17-H17-I17-J17</f>
        <v>-3245.83333333333</v>
      </c>
      <c r="L17" s="20" t="n">
        <f aca="false">L16+K17</f>
        <v>22575</v>
      </c>
    </row>
    <row r="18" customFormat="false" ht="15" hidden="false" customHeight="false" outlineLevel="0" collapsed="false">
      <c r="A18" s="21" t="n">
        <v>10</v>
      </c>
      <c r="B18" s="21" t="n">
        <f aca="false">IF(A18&lt;=הנחות!$B$27,1,0)</f>
        <v>1</v>
      </c>
      <c r="C18" s="20" t="n">
        <f aca="false">IF(הנחות!$B$19=1,IF(A18=1,0.2*'סעיפי מחיר'!$I$5,0)+IF(A18=הנחות!$B$21,0.8*'סעיפי מחיר'!$I$5,0)*B18,IF(A18=1,0.2*'סעיפי מחיר'!$I$5,0)+IF(AND(A18&gt;=הנחות!$B$21,A18&lt;הנחות!$B$21+36),0.8*'סעיפי מחיר'!$I$5/36,0)*B18)</f>
        <v>0</v>
      </c>
      <c r="D18" s="20" t="n">
        <f aca="false">IF(A18=1,'סעיפי מחיר'!$I$6*'סעיפי מחיר'!$G$6+'סעיפי מחיר'!$I$7*'סעיפי מחיר'!$G$7,0)</f>
        <v>0</v>
      </c>
      <c r="E18" s="20" t="n">
        <f aca="false">IF(A18&gt;=הנחות!$B$21,'סעיפי מחיר'!$I$9,0)*B18</f>
        <v>1200</v>
      </c>
      <c r="F18" s="20" t="n">
        <f aca="false">IF(A18&gt;36,'סעיפי מחיר'!$I$8/12,0)*B18</f>
        <v>0</v>
      </c>
      <c r="G18" s="20" t="n">
        <f aca="false">IF(A18&gt;=הנחות!$B$21,תוספות!$H$15,0)*B18</f>
        <v>512.5</v>
      </c>
      <c r="H18" s="20" t="n">
        <f aca="false">IF(A18=0,הנחות!$B$6,0)+IF(A18=1,הנחות!$B$4+הנחות!$B$5+'סעיפי מחיר'!$J$6*'סעיפי מחיר'!$G$6+'סעיפי מחיר'!$J$7*'סעיפי מחיר'!$G$7,0)</f>
        <v>0</v>
      </c>
      <c r="I18" s="20" t="n">
        <f aca="false">IF(A18&gt;=1,הנחות!$B$25,0)*B18</f>
        <v>3758.33333333333</v>
      </c>
      <c r="J18" s="20" t="n">
        <f aca="false">IF(A18&gt;=הנחות!$B$21,הנחות!$B$26,0)*B18</f>
        <v>1200</v>
      </c>
      <c r="K18" s="20" t="n">
        <f aca="false">C18+D18+E18+F18+G18-H18-I18-J18</f>
        <v>-3245.83333333333</v>
      </c>
      <c r="L18" s="20" t="n">
        <f aca="false">L17+K18</f>
        <v>19329.1666666667</v>
      </c>
    </row>
    <row r="19" customFormat="false" ht="15" hidden="false" customHeight="false" outlineLevel="0" collapsed="false">
      <c r="A19" s="21" t="n">
        <v>11</v>
      </c>
      <c r="B19" s="21" t="n">
        <f aca="false">IF(A19&lt;=הנחות!$B$27,1,0)</f>
        <v>1</v>
      </c>
      <c r="C19" s="20" t="n">
        <f aca="false">IF(הנחות!$B$19=1,IF(A19=1,0.2*'סעיפי מחיר'!$I$5,0)+IF(A19=הנחות!$B$21,0.8*'סעיפי מחיר'!$I$5,0)*B19,IF(A19=1,0.2*'סעיפי מחיר'!$I$5,0)+IF(AND(A19&gt;=הנחות!$B$21,A19&lt;הנחות!$B$21+36),0.8*'סעיפי מחיר'!$I$5/36,0)*B19)</f>
        <v>0</v>
      </c>
      <c r="D19" s="20" t="n">
        <f aca="false">IF(A19=1,'סעיפי מחיר'!$I$6*'סעיפי מחיר'!$G$6+'סעיפי מחיר'!$I$7*'סעיפי מחיר'!$G$7,0)</f>
        <v>0</v>
      </c>
      <c r="E19" s="20" t="n">
        <f aca="false">IF(A19&gt;=הנחות!$B$21,'סעיפי מחיר'!$I$9,0)*B19</f>
        <v>1200</v>
      </c>
      <c r="F19" s="20" t="n">
        <f aca="false">IF(A19&gt;36,'סעיפי מחיר'!$I$8/12,0)*B19</f>
        <v>0</v>
      </c>
      <c r="G19" s="20" t="n">
        <f aca="false">IF(A19&gt;=הנחות!$B$21,תוספות!$H$15,0)*B19</f>
        <v>512.5</v>
      </c>
      <c r="H19" s="20" t="n">
        <f aca="false">IF(A19=0,הנחות!$B$6,0)+IF(A19=1,הנחות!$B$4+הנחות!$B$5+'סעיפי מחיר'!$J$6*'סעיפי מחיר'!$G$6+'סעיפי מחיר'!$J$7*'סעיפי מחיר'!$G$7,0)</f>
        <v>0</v>
      </c>
      <c r="I19" s="20" t="n">
        <f aca="false">IF(A19&gt;=1,הנחות!$B$25,0)*B19</f>
        <v>3758.33333333333</v>
      </c>
      <c r="J19" s="20" t="n">
        <f aca="false">IF(A19&gt;=הנחות!$B$21,הנחות!$B$26,0)*B19</f>
        <v>1200</v>
      </c>
      <c r="K19" s="20" t="n">
        <f aca="false">C19+D19+E19+F19+G19-H19-I19-J19</f>
        <v>-3245.83333333333</v>
      </c>
      <c r="L19" s="20" t="n">
        <f aca="false">L18+K19</f>
        <v>16083.3333333333</v>
      </c>
    </row>
    <row r="20" customFormat="false" ht="15" hidden="false" customHeight="false" outlineLevel="0" collapsed="false">
      <c r="A20" s="21" t="n">
        <v>12</v>
      </c>
      <c r="B20" s="21" t="n">
        <f aca="false">IF(A20&lt;=הנחות!$B$27,1,0)</f>
        <v>1</v>
      </c>
      <c r="C20" s="20" t="n">
        <f aca="false">IF(הנחות!$B$19=1,IF(A20=1,0.2*'סעיפי מחיר'!$I$5,0)+IF(A20=הנחות!$B$21,0.8*'סעיפי מחיר'!$I$5,0)*B20,IF(A20=1,0.2*'סעיפי מחיר'!$I$5,0)+IF(AND(A20&gt;=הנחות!$B$21,A20&lt;הנחות!$B$21+36),0.8*'סעיפי מחיר'!$I$5/36,0)*B20)</f>
        <v>0</v>
      </c>
      <c r="D20" s="20" t="n">
        <f aca="false">IF(A20=1,'סעיפי מחיר'!$I$6*'סעיפי מחיר'!$G$6+'סעיפי מחיר'!$I$7*'סעיפי מחיר'!$G$7,0)</f>
        <v>0</v>
      </c>
      <c r="E20" s="20" t="n">
        <f aca="false">IF(A20&gt;=הנחות!$B$21,'סעיפי מחיר'!$I$9,0)*B20</f>
        <v>1200</v>
      </c>
      <c r="F20" s="20" t="n">
        <f aca="false">IF(A20&gt;36,'סעיפי מחיר'!$I$8/12,0)*B20</f>
        <v>0</v>
      </c>
      <c r="G20" s="20" t="n">
        <f aca="false">IF(A20&gt;=הנחות!$B$21,תוספות!$H$15,0)*B20</f>
        <v>512.5</v>
      </c>
      <c r="H20" s="20" t="n">
        <f aca="false">IF(A20=0,הנחות!$B$6,0)+IF(A20=1,הנחות!$B$4+הנחות!$B$5+'סעיפי מחיר'!$J$6*'סעיפי מחיר'!$G$6+'סעיפי מחיר'!$J$7*'סעיפי מחיר'!$G$7,0)</f>
        <v>0</v>
      </c>
      <c r="I20" s="20" t="n">
        <f aca="false">IF(A20&gt;=1,הנחות!$B$25,0)*B20</f>
        <v>3758.33333333333</v>
      </c>
      <c r="J20" s="20" t="n">
        <f aca="false">IF(A20&gt;=הנחות!$B$21,הנחות!$B$26,0)*B20</f>
        <v>1200</v>
      </c>
      <c r="K20" s="20" t="n">
        <f aca="false">C20+D20+E20+F20+G20-H20-I20-J20</f>
        <v>-3245.83333333333</v>
      </c>
      <c r="L20" s="20" t="n">
        <f aca="false">L19+K20</f>
        <v>12837.5</v>
      </c>
    </row>
    <row r="21" customFormat="false" ht="15" hidden="false" customHeight="false" outlineLevel="0" collapsed="false">
      <c r="A21" s="21" t="n">
        <v>13</v>
      </c>
      <c r="B21" s="21" t="n">
        <f aca="false">IF(A21&lt;=הנחות!$B$27,1,0)</f>
        <v>1</v>
      </c>
      <c r="C21" s="20" t="n">
        <f aca="false">IF(הנחות!$B$19=1,IF(A21=1,0.2*'סעיפי מחיר'!$I$5,0)+IF(A21=הנחות!$B$21,0.8*'סעיפי מחיר'!$I$5,0)*B21,IF(A21=1,0.2*'סעיפי מחיר'!$I$5,0)+IF(AND(A21&gt;=הנחות!$B$21,A21&lt;הנחות!$B$21+36),0.8*'סעיפי מחיר'!$I$5/36,0)*B21)</f>
        <v>0</v>
      </c>
      <c r="D21" s="20" t="n">
        <f aca="false">IF(A21=1,'סעיפי מחיר'!$I$6*'סעיפי מחיר'!$G$6+'סעיפי מחיר'!$I$7*'סעיפי מחיר'!$G$7,0)</f>
        <v>0</v>
      </c>
      <c r="E21" s="20" t="n">
        <f aca="false">IF(A21&gt;=הנחות!$B$21,'סעיפי מחיר'!$I$9,0)*B21</f>
        <v>1200</v>
      </c>
      <c r="F21" s="20" t="n">
        <f aca="false">IF(A21&gt;36,'סעיפי מחיר'!$I$8/12,0)*B21</f>
        <v>0</v>
      </c>
      <c r="G21" s="20" t="n">
        <f aca="false">IF(A21&gt;=הנחות!$B$21,תוספות!$H$15,0)*B21</f>
        <v>512.5</v>
      </c>
      <c r="H21" s="20" t="n">
        <f aca="false">IF(A21=0,הנחות!$B$6,0)+IF(A21=1,הנחות!$B$4+הנחות!$B$5+'סעיפי מחיר'!$J$6*'סעיפי מחיר'!$G$6+'סעיפי מחיר'!$J$7*'סעיפי מחיר'!$G$7,0)</f>
        <v>0</v>
      </c>
      <c r="I21" s="20" t="n">
        <f aca="false">IF(A21&gt;=1,הנחות!$B$25,0)*B21</f>
        <v>3758.33333333333</v>
      </c>
      <c r="J21" s="20" t="n">
        <f aca="false">IF(A21&gt;=הנחות!$B$21,הנחות!$B$26,0)*B21</f>
        <v>1200</v>
      </c>
      <c r="K21" s="20" t="n">
        <f aca="false">C21+D21+E21+F21+G21-H21-I21-J21</f>
        <v>-3245.83333333333</v>
      </c>
      <c r="L21" s="20" t="n">
        <f aca="false">L20+K21</f>
        <v>9591.66666666667</v>
      </c>
    </row>
    <row r="22" customFormat="false" ht="15" hidden="false" customHeight="false" outlineLevel="0" collapsed="false">
      <c r="A22" s="21" t="n">
        <v>14</v>
      </c>
      <c r="B22" s="21" t="n">
        <f aca="false">IF(A22&lt;=הנחות!$B$27,1,0)</f>
        <v>1</v>
      </c>
      <c r="C22" s="20" t="n">
        <f aca="false">IF(הנחות!$B$19=1,IF(A22=1,0.2*'סעיפי מחיר'!$I$5,0)+IF(A22=הנחות!$B$21,0.8*'סעיפי מחיר'!$I$5,0)*B22,IF(A22=1,0.2*'סעיפי מחיר'!$I$5,0)+IF(AND(A22&gt;=הנחות!$B$21,A22&lt;הנחות!$B$21+36),0.8*'סעיפי מחיר'!$I$5/36,0)*B22)</f>
        <v>0</v>
      </c>
      <c r="D22" s="20" t="n">
        <f aca="false">IF(A22=1,'סעיפי מחיר'!$I$6*'סעיפי מחיר'!$G$6+'סעיפי מחיר'!$I$7*'סעיפי מחיר'!$G$7,0)</f>
        <v>0</v>
      </c>
      <c r="E22" s="20" t="n">
        <f aca="false">IF(A22&gt;=הנחות!$B$21,'סעיפי מחיר'!$I$9,0)*B22</f>
        <v>1200</v>
      </c>
      <c r="F22" s="20" t="n">
        <f aca="false">IF(A22&gt;36,'סעיפי מחיר'!$I$8/12,0)*B22</f>
        <v>0</v>
      </c>
      <c r="G22" s="20" t="n">
        <f aca="false">IF(A22&gt;=הנחות!$B$21,תוספות!$H$15,0)*B22</f>
        <v>512.5</v>
      </c>
      <c r="H22" s="20" t="n">
        <f aca="false">IF(A22=0,הנחות!$B$6,0)+IF(A22=1,הנחות!$B$4+הנחות!$B$5+'סעיפי מחיר'!$J$6*'סעיפי מחיר'!$G$6+'סעיפי מחיר'!$J$7*'סעיפי מחיר'!$G$7,0)</f>
        <v>0</v>
      </c>
      <c r="I22" s="20" t="n">
        <f aca="false">IF(A22&gt;=1,הנחות!$B$25,0)*B22</f>
        <v>3758.33333333333</v>
      </c>
      <c r="J22" s="20" t="n">
        <f aca="false">IF(A22&gt;=הנחות!$B$21,הנחות!$B$26,0)*B22</f>
        <v>1200</v>
      </c>
      <c r="K22" s="20" t="n">
        <f aca="false">C22+D22+E22+F22+G22-H22-I22-J22</f>
        <v>-3245.83333333333</v>
      </c>
      <c r="L22" s="20" t="n">
        <f aca="false">L21+K22</f>
        <v>6345.83333333334</v>
      </c>
    </row>
    <row r="23" customFormat="false" ht="15" hidden="false" customHeight="false" outlineLevel="0" collapsed="false">
      <c r="A23" s="21" t="n">
        <v>15</v>
      </c>
      <c r="B23" s="21" t="n">
        <f aca="false">IF(A23&lt;=הנחות!$B$27,1,0)</f>
        <v>1</v>
      </c>
      <c r="C23" s="20" t="n">
        <f aca="false">IF(הנחות!$B$19=1,IF(A23=1,0.2*'סעיפי מחיר'!$I$5,0)+IF(A23=הנחות!$B$21,0.8*'סעיפי מחיר'!$I$5,0)*B23,IF(A23=1,0.2*'סעיפי מחיר'!$I$5,0)+IF(AND(A23&gt;=הנחות!$B$21,A23&lt;הנחות!$B$21+36),0.8*'סעיפי מחיר'!$I$5/36,0)*B23)</f>
        <v>0</v>
      </c>
      <c r="D23" s="20" t="n">
        <f aca="false">IF(A23=1,'סעיפי מחיר'!$I$6*'סעיפי מחיר'!$G$6+'סעיפי מחיר'!$I$7*'סעיפי מחיר'!$G$7,0)</f>
        <v>0</v>
      </c>
      <c r="E23" s="20" t="n">
        <f aca="false">IF(A23&gt;=הנחות!$B$21,'סעיפי מחיר'!$I$9,0)*B23</f>
        <v>1200</v>
      </c>
      <c r="F23" s="20" t="n">
        <f aca="false">IF(A23&gt;36,'סעיפי מחיר'!$I$8/12,0)*B23</f>
        <v>0</v>
      </c>
      <c r="G23" s="20" t="n">
        <f aca="false">IF(A23&gt;=הנחות!$B$21,תוספות!$H$15,0)*B23</f>
        <v>512.5</v>
      </c>
      <c r="H23" s="20" t="n">
        <f aca="false">IF(A23=0,הנחות!$B$6,0)+IF(A23=1,הנחות!$B$4+הנחות!$B$5+'סעיפי מחיר'!$J$6*'סעיפי מחיר'!$G$6+'סעיפי מחיר'!$J$7*'סעיפי מחיר'!$G$7,0)</f>
        <v>0</v>
      </c>
      <c r="I23" s="20" t="n">
        <f aca="false">IF(A23&gt;=1,הנחות!$B$25,0)*B23</f>
        <v>3758.33333333333</v>
      </c>
      <c r="J23" s="20" t="n">
        <f aca="false">IF(A23&gt;=הנחות!$B$21,הנחות!$B$26,0)*B23</f>
        <v>1200</v>
      </c>
      <c r="K23" s="20" t="n">
        <f aca="false">C23+D23+E23+F23+G23-H23-I23-J23</f>
        <v>-3245.83333333333</v>
      </c>
      <c r="L23" s="20" t="n">
        <f aca="false">L22+K23</f>
        <v>3100.00000000001</v>
      </c>
    </row>
    <row r="24" customFormat="false" ht="15" hidden="false" customHeight="false" outlineLevel="0" collapsed="false">
      <c r="A24" s="21" t="n">
        <v>16</v>
      </c>
      <c r="B24" s="21" t="n">
        <f aca="false">IF(A24&lt;=הנחות!$B$27,1,0)</f>
        <v>1</v>
      </c>
      <c r="C24" s="20" t="n">
        <f aca="false">IF(הנחות!$B$19=1,IF(A24=1,0.2*'סעיפי מחיר'!$I$5,0)+IF(A24=הנחות!$B$21,0.8*'סעיפי מחיר'!$I$5,0)*B24,IF(A24=1,0.2*'סעיפי מחיר'!$I$5,0)+IF(AND(A24&gt;=הנחות!$B$21,A24&lt;הנחות!$B$21+36),0.8*'סעיפי מחיר'!$I$5/36,0)*B24)</f>
        <v>0</v>
      </c>
      <c r="D24" s="20" t="n">
        <f aca="false">IF(A24=1,'סעיפי מחיר'!$I$6*'סעיפי מחיר'!$G$6+'סעיפי מחיר'!$I$7*'סעיפי מחיר'!$G$7,0)</f>
        <v>0</v>
      </c>
      <c r="E24" s="20" t="n">
        <f aca="false">IF(A24&gt;=הנחות!$B$21,'סעיפי מחיר'!$I$9,0)*B24</f>
        <v>1200</v>
      </c>
      <c r="F24" s="20" t="n">
        <f aca="false">IF(A24&gt;36,'סעיפי מחיר'!$I$8/12,0)*B24</f>
        <v>0</v>
      </c>
      <c r="G24" s="20" t="n">
        <f aca="false">IF(A24&gt;=הנחות!$B$21,תוספות!$H$15,0)*B24</f>
        <v>512.5</v>
      </c>
      <c r="H24" s="20" t="n">
        <f aca="false">IF(A24=0,הנחות!$B$6,0)+IF(A24=1,הנחות!$B$4+הנחות!$B$5+'סעיפי מחיר'!$J$6*'סעיפי מחיר'!$G$6+'סעיפי מחיר'!$J$7*'סעיפי מחיר'!$G$7,0)</f>
        <v>0</v>
      </c>
      <c r="I24" s="20" t="n">
        <f aca="false">IF(A24&gt;=1,הנחות!$B$25,0)*B24</f>
        <v>3758.33333333333</v>
      </c>
      <c r="J24" s="20" t="n">
        <f aca="false">IF(A24&gt;=הנחות!$B$21,הנחות!$B$26,0)*B24</f>
        <v>1200</v>
      </c>
      <c r="K24" s="20" t="n">
        <f aca="false">C24+D24+E24+F24+G24-H24-I24-J24</f>
        <v>-3245.83333333333</v>
      </c>
      <c r="L24" s="20" t="n">
        <f aca="false">L23+K24</f>
        <v>-145.833333333328</v>
      </c>
    </row>
    <row r="25" customFormat="false" ht="15" hidden="false" customHeight="false" outlineLevel="0" collapsed="false">
      <c r="A25" s="21" t="n">
        <v>17</v>
      </c>
      <c r="B25" s="21" t="n">
        <f aca="false">IF(A25&lt;=הנחות!$B$27,1,0)</f>
        <v>1</v>
      </c>
      <c r="C25" s="20" t="n">
        <f aca="false">IF(הנחות!$B$19=1,IF(A25=1,0.2*'סעיפי מחיר'!$I$5,0)+IF(A25=הנחות!$B$21,0.8*'סעיפי מחיר'!$I$5,0)*B25,IF(A25=1,0.2*'סעיפי מחיר'!$I$5,0)+IF(AND(A25&gt;=הנחות!$B$21,A25&lt;הנחות!$B$21+36),0.8*'סעיפי מחיר'!$I$5/36,0)*B25)</f>
        <v>0</v>
      </c>
      <c r="D25" s="20" t="n">
        <f aca="false">IF(A25=1,'סעיפי מחיר'!$I$6*'סעיפי מחיר'!$G$6+'סעיפי מחיר'!$I$7*'סעיפי מחיר'!$G$7,0)</f>
        <v>0</v>
      </c>
      <c r="E25" s="20" t="n">
        <f aca="false">IF(A25&gt;=הנחות!$B$21,'סעיפי מחיר'!$I$9,0)*B25</f>
        <v>1200</v>
      </c>
      <c r="F25" s="20" t="n">
        <f aca="false">IF(A25&gt;36,'סעיפי מחיר'!$I$8/12,0)*B25</f>
        <v>0</v>
      </c>
      <c r="G25" s="20" t="n">
        <f aca="false">IF(A25&gt;=הנחות!$B$21,תוספות!$H$15,0)*B25</f>
        <v>512.5</v>
      </c>
      <c r="H25" s="20" t="n">
        <f aca="false">IF(A25=0,הנחות!$B$6,0)+IF(A25=1,הנחות!$B$4+הנחות!$B$5+'סעיפי מחיר'!$J$6*'סעיפי מחיר'!$G$6+'סעיפי מחיר'!$J$7*'סעיפי מחיר'!$G$7,0)</f>
        <v>0</v>
      </c>
      <c r="I25" s="20" t="n">
        <f aca="false">IF(A25&gt;=1,הנחות!$B$25,0)*B25</f>
        <v>3758.33333333333</v>
      </c>
      <c r="J25" s="20" t="n">
        <f aca="false">IF(A25&gt;=הנחות!$B$21,הנחות!$B$26,0)*B25</f>
        <v>1200</v>
      </c>
      <c r="K25" s="20" t="n">
        <f aca="false">C25+D25+E25+F25+G25-H25-I25-J25</f>
        <v>-3245.83333333333</v>
      </c>
      <c r="L25" s="20" t="n">
        <f aca="false">L24+K25</f>
        <v>-3391.66666666666</v>
      </c>
    </row>
    <row r="26" customFormat="false" ht="15" hidden="false" customHeight="false" outlineLevel="0" collapsed="false">
      <c r="A26" s="21" t="n">
        <v>18</v>
      </c>
      <c r="B26" s="21" t="n">
        <f aca="false">IF(A26&lt;=הנחות!$B$27,1,0)</f>
        <v>1</v>
      </c>
      <c r="C26" s="20" t="n">
        <f aca="false">IF(הנחות!$B$19=1,IF(A26=1,0.2*'סעיפי מחיר'!$I$5,0)+IF(A26=הנחות!$B$21,0.8*'סעיפי מחיר'!$I$5,0)*B26,IF(A26=1,0.2*'סעיפי מחיר'!$I$5,0)+IF(AND(A26&gt;=הנחות!$B$21,A26&lt;הנחות!$B$21+36),0.8*'סעיפי מחיר'!$I$5/36,0)*B26)</f>
        <v>0</v>
      </c>
      <c r="D26" s="20" t="n">
        <f aca="false">IF(A26=1,'סעיפי מחיר'!$I$6*'סעיפי מחיר'!$G$6+'סעיפי מחיר'!$I$7*'סעיפי מחיר'!$G$7,0)</f>
        <v>0</v>
      </c>
      <c r="E26" s="20" t="n">
        <f aca="false">IF(A26&gt;=הנחות!$B$21,'סעיפי מחיר'!$I$9,0)*B26</f>
        <v>1200</v>
      </c>
      <c r="F26" s="20" t="n">
        <f aca="false">IF(A26&gt;36,'סעיפי מחיר'!$I$8/12,0)*B26</f>
        <v>0</v>
      </c>
      <c r="G26" s="20" t="n">
        <f aca="false">IF(A26&gt;=הנחות!$B$21,תוספות!$H$15,0)*B26</f>
        <v>512.5</v>
      </c>
      <c r="H26" s="20" t="n">
        <f aca="false">IF(A26=0,הנחות!$B$6,0)+IF(A26=1,הנחות!$B$4+הנחות!$B$5+'סעיפי מחיר'!$J$6*'סעיפי מחיר'!$G$6+'סעיפי מחיר'!$J$7*'סעיפי מחיר'!$G$7,0)</f>
        <v>0</v>
      </c>
      <c r="I26" s="20" t="n">
        <f aca="false">IF(A26&gt;=1,הנחות!$B$25,0)*B26</f>
        <v>3758.33333333333</v>
      </c>
      <c r="J26" s="20" t="n">
        <f aca="false">IF(A26&gt;=הנחות!$B$21,הנחות!$B$26,0)*B26</f>
        <v>1200</v>
      </c>
      <c r="K26" s="20" t="n">
        <f aca="false">C26+D26+E26+F26+G26-H26-I26-J26</f>
        <v>-3245.83333333333</v>
      </c>
      <c r="L26" s="20" t="n">
        <f aca="false">L25+K26</f>
        <v>-6637.49999999999</v>
      </c>
    </row>
    <row r="27" customFormat="false" ht="15" hidden="false" customHeight="false" outlineLevel="0" collapsed="false">
      <c r="A27" s="21" t="n">
        <v>19</v>
      </c>
      <c r="B27" s="21" t="n">
        <f aca="false">IF(A27&lt;=הנחות!$B$27,1,0)</f>
        <v>1</v>
      </c>
      <c r="C27" s="20" t="n">
        <f aca="false">IF(הנחות!$B$19=1,IF(A27=1,0.2*'סעיפי מחיר'!$I$5,0)+IF(A27=הנחות!$B$21,0.8*'סעיפי מחיר'!$I$5,0)*B27,IF(A27=1,0.2*'סעיפי מחיר'!$I$5,0)+IF(AND(A27&gt;=הנחות!$B$21,A27&lt;הנחות!$B$21+36),0.8*'סעיפי מחיר'!$I$5/36,0)*B27)</f>
        <v>0</v>
      </c>
      <c r="D27" s="20" t="n">
        <f aca="false">IF(A27=1,'סעיפי מחיר'!$I$6*'סעיפי מחיר'!$G$6+'סעיפי מחיר'!$I$7*'סעיפי מחיר'!$G$7,0)</f>
        <v>0</v>
      </c>
      <c r="E27" s="20" t="n">
        <f aca="false">IF(A27&gt;=הנחות!$B$21,'סעיפי מחיר'!$I$9,0)*B27</f>
        <v>1200</v>
      </c>
      <c r="F27" s="20" t="n">
        <f aca="false">IF(A27&gt;36,'סעיפי מחיר'!$I$8/12,0)*B27</f>
        <v>0</v>
      </c>
      <c r="G27" s="20" t="n">
        <f aca="false">IF(A27&gt;=הנחות!$B$21,תוספות!$H$15,0)*B27</f>
        <v>512.5</v>
      </c>
      <c r="H27" s="20" t="n">
        <f aca="false">IF(A27=0,הנחות!$B$6,0)+IF(A27=1,הנחות!$B$4+הנחות!$B$5+'סעיפי מחיר'!$J$6*'סעיפי מחיר'!$G$6+'סעיפי מחיר'!$J$7*'סעיפי מחיר'!$G$7,0)</f>
        <v>0</v>
      </c>
      <c r="I27" s="20" t="n">
        <f aca="false">IF(A27&gt;=1,הנחות!$B$25,0)*B27</f>
        <v>3758.33333333333</v>
      </c>
      <c r="J27" s="20" t="n">
        <f aca="false">IF(A27&gt;=הנחות!$B$21,הנחות!$B$26,0)*B27</f>
        <v>1200</v>
      </c>
      <c r="K27" s="20" t="n">
        <f aca="false">C27+D27+E27+F27+G27-H27-I27-J27</f>
        <v>-3245.83333333333</v>
      </c>
      <c r="L27" s="20" t="n">
        <f aca="false">L26+K27</f>
        <v>-9883.33333333333</v>
      </c>
    </row>
    <row r="28" customFormat="false" ht="15" hidden="false" customHeight="false" outlineLevel="0" collapsed="false">
      <c r="A28" s="21" t="n">
        <v>20</v>
      </c>
      <c r="B28" s="21" t="n">
        <f aca="false">IF(A28&lt;=הנחות!$B$27,1,0)</f>
        <v>1</v>
      </c>
      <c r="C28" s="20" t="n">
        <f aca="false">IF(הנחות!$B$19=1,IF(A28=1,0.2*'סעיפי מחיר'!$I$5,0)+IF(A28=הנחות!$B$21,0.8*'סעיפי מחיר'!$I$5,0)*B28,IF(A28=1,0.2*'סעיפי מחיר'!$I$5,0)+IF(AND(A28&gt;=הנחות!$B$21,A28&lt;הנחות!$B$21+36),0.8*'סעיפי מחיר'!$I$5/36,0)*B28)</f>
        <v>0</v>
      </c>
      <c r="D28" s="20" t="n">
        <f aca="false">IF(A28=1,'סעיפי מחיר'!$I$6*'סעיפי מחיר'!$G$6+'סעיפי מחיר'!$I$7*'סעיפי מחיר'!$G$7,0)</f>
        <v>0</v>
      </c>
      <c r="E28" s="20" t="n">
        <f aca="false">IF(A28&gt;=הנחות!$B$21,'סעיפי מחיר'!$I$9,0)*B28</f>
        <v>1200</v>
      </c>
      <c r="F28" s="20" t="n">
        <f aca="false">IF(A28&gt;36,'סעיפי מחיר'!$I$8/12,0)*B28</f>
        <v>0</v>
      </c>
      <c r="G28" s="20" t="n">
        <f aca="false">IF(A28&gt;=הנחות!$B$21,תוספות!$H$15,0)*B28</f>
        <v>512.5</v>
      </c>
      <c r="H28" s="20" t="n">
        <f aca="false">IF(A28=0,הנחות!$B$6,0)+IF(A28=1,הנחות!$B$4+הנחות!$B$5+'סעיפי מחיר'!$J$6*'סעיפי מחיר'!$G$6+'סעיפי מחיר'!$J$7*'סעיפי מחיר'!$G$7,0)</f>
        <v>0</v>
      </c>
      <c r="I28" s="20" t="n">
        <f aca="false">IF(A28&gt;=1,הנחות!$B$25,0)*B28</f>
        <v>3758.33333333333</v>
      </c>
      <c r="J28" s="20" t="n">
        <f aca="false">IF(A28&gt;=הנחות!$B$21,הנחות!$B$26,0)*B28</f>
        <v>1200</v>
      </c>
      <c r="K28" s="20" t="n">
        <f aca="false">C28+D28+E28+F28+G28-H28-I28-J28</f>
        <v>-3245.83333333333</v>
      </c>
      <c r="L28" s="20" t="n">
        <f aca="false">L27+K28</f>
        <v>-13129.1666666667</v>
      </c>
    </row>
    <row r="29" customFormat="false" ht="15" hidden="false" customHeight="false" outlineLevel="0" collapsed="false">
      <c r="A29" s="21" t="n">
        <v>21</v>
      </c>
      <c r="B29" s="21" t="n">
        <f aca="false">IF(A29&lt;=הנחות!$B$27,1,0)</f>
        <v>1</v>
      </c>
      <c r="C29" s="20" t="n">
        <f aca="false">IF(הנחות!$B$19=1,IF(A29=1,0.2*'סעיפי מחיר'!$I$5,0)+IF(A29=הנחות!$B$21,0.8*'סעיפי מחיר'!$I$5,0)*B29,IF(A29=1,0.2*'סעיפי מחיר'!$I$5,0)+IF(AND(A29&gt;=הנחות!$B$21,A29&lt;הנחות!$B$21+36),0.8*'סעיפי מחיר'!$I$5/36,0)*B29)</f>
        <v>0</v>
      </c>
      <c r="D29" s="20" t="n">
        <f aca="false">IF(A29=1,'סעיפי מחיר'!$I$6*'סעיפי מחיר'!$G$6+'סעיפי מחיר'!$I$7*'סעיפי מחיר'!$G$7,0)</f>
        <v>0</v>
      </c>
      <c r="E29" s="20" t="n">
        <f aca="false">IF(A29&gt;=הנחות!$B$21,'סעיפי מחיר'!$I$9,0)*B29</f>
        <v>1200</v>
      </c>
      <c r="F29" s="20" t="n">
        <f aca="false">IF(A29&gt;36,'סעיפי מחיר'!$I$8/12,0)*B29</f>
        <v>0</v>
      </c>
      <c r="G29" s="20" t="n">
        <f aca="false">IF(A29&gt;=הנחות!$B$21,תוספות!$H$15,0)*B29</f>
        <v>512.5</v>
      </c>
      <c r="H29" s="20" t="n">
        <f aca="false">IF(A29=0,הנחות!$B$6,0)+IF(A29=1,הנחות!$B$4+הנחות!$B$5+'סעיפי מחיר'!$J$6*'סעיפי מחיר'!$G$6+'סעיפי מחיר'!$J$7*'סעיפי מחיר'!$G$7,0)</f>
        <v>0</v>
      </c>
      <c r="I29" s="20" t="n">
        <f aca="false">IF(A29&gt;=1,הנחות!$B$25,0)*B29</f>
        <v>3758.33333333333</v>
      </c>
      <c r="J29" s="20" t="n">
        <f aca="false">IF(A29&gt;=הנחות!$B$21,הנחות!$B$26,0)*B29</f>
        <v>1200</v>
      </c>
      <c r="K29" s="20" t="n">
        <f aca="false">C29+D29+E29+F29+G29-H29-I29-J29</f>
        <v>-3245.83333333333</v>
      </c>
      <c r="L29" s="20" t="n">
        <f aca="false">L28+K29</f>
        <v>-16375</v>
      </c>
    </row>
    <row r="30" customFormat="false" ht="15" hidden="false" customHeight="false" outlineLevel="0" collapsed="false">
      <c r="A30" s="21" t="n">
        <v>22</v>
      </c>
      <c r="B30" s="21" t="n">
        <f aca="false">IF(A30&lt;=הנחות!$B$27,1,0)</f>
        <v>1</v>
      </c>
      <c r="C30" s="20" t="n">
        <f aca="false">IF(הנחות!$B$19=1,IF(A30=1,0.2*'סעיפי מחיר'!$I$5,0)+IF(A30=הנחות!$B$21,0.8*'סעיפי מחיר'!$I$5,0)*B30,IF(A30=1,0.2*'סעיפי מחיר'!$I$5,0)+IF(AND(A30&gt;=הנחות!$B$21,A30&lt;הנחות!$B$21+36),0.8*'סעיפי מחיר'!$I$5/36,0)*B30)</f>
        <v>0</v>
      </c>
      <c r="D30" s="20" t="n">
        <f aca="false">IF(A30=1,'סעיפי מחיר'!$I$6*'סעיפי מחיר'!$G$6+'סעיפי מחיר'!$I$7*'סעיפי מחיר'!$G$7,0)</f>
        <v>0</v>
      </c>
      <c r="E30" s="20" t="n">
        <f aca="false">IF(A30&gt;=הנחות!$B$21,'סעיפי מחיר'!$I$9,0)*B30</f>
        <v>1200</v>
      </c>
      <c r="F30" s="20" t="n">
        <f aca="false">IF(A30&gt;36,'סעיפי מחיר'!$I$8/12,0)*B30</f>
        <v>0</v>
      </c>
      <c r="G30" s="20" t="n">
        <f aca="false">IF(A30&gt;=הנחות!$B$21,תוספות!$H$15,0)*B30</f>
        <v>512.5</v>
      </c>
      <c r="H30" s="20" t="n">
        <f aca="false">IF(A30=0,הנחות!$B$6,0)+IF(A30=1,הנחות!$B$4+הנחות!$B$5+'סעיפי מחיר'!$J$6*'סעיפי מחיר'!$G$6+'סעיפי מחיר'!$J$7*'סעיפי מחיר'!$G$7,0)</f>
        <v>0</v>
      </c>
      <c r="I30" s="20" t="n">
        <f aca="false">IF(A30&gt;=1,הנחות!$B$25,0)*B30</f>
        <v>3758.33333333333</v>
      </c>
      <c r="J30" s="20" t="n">
        <f aca="false">IF(A30&gt;=הנחות!$B$21,הנחות!$B$26,0)*B30</f>
        <v>1200</v>
      </c>
      <c r="K30" s="20" t="n">
        <f aca="false">C30+D30+E30+F30+G30-H30-I30-J30</f>
        <v>-3245.83333333333</v>
      </c>
      <c r="L30" s="20" t="n">
        <f aca="false">L29+K30</f>
        <v>-19620.8333333333</v>
      </c>
    </row>
    <row r="31" customFormat="false" ht="15" hidden="false" customHeight="false" outlineLevel="0" collapsed="false">
      <c r="A31" s="21" t="n">
        <v>23</v>
      </c>
      <c r="B31" s="21" t="n">
        <f aca="false">IF(A31&lt;=הנחות!$B$27,1,0)</f>
        <v>1</v>
      </c>
      <c r="C31" s="20" t="n">
        <f aca="false">IF(הנחות!$B$19=1,IF(A31=1,0.2*'סעיפי מחיר'!$I$5,0)+IF(A31=הנחות!$B$21,0.8*'סעיפי מחיר'!$I$5,0)*B31,IF(A31=1,0.2*'סעיפי מחיר'!$I$5,0)+IF(AND(A31&gt;=הנחות!$B$21,A31&lt;הנחות!$B$21+36),0.8*'סעיפי מחיר'!$I$5/36,0)*B31)</f>
        <v>0</v>
      </c>
      <c r="D31" s="20" t="n">
        <f aca="false">IF(A31=1,'סעיפי מחיר'!$I$6*'סעיפי מחיר'!$G$6+'סעיפי מחיר'!$I$7*'סעיפי מחיר'!$G$7,0)</f>
        <v>0</v>
      </c>
      <c r="E31" s="20" t="n">
        <f aca="false">IF(A31&gt;=הנחות!$B$21,'סעיפי מחיר'!$I$9,0)*B31</f>
        <v>1200</v>
      </c>
      <c r="F31" s="20" t="n">
        <f aca="false">IF(A31&gt;36,'סעיפי מחיר'!$I$8/12,0)*B31</f>
        <v>0</v>
      </c>
      <c r="G31" s="20" t="n">
        <f aca="false">IF(A31&gt;=הנחות!$B$21,תוספות!$H$15,0)*B31</f>
        <v>512.5</v>
      </c>
      <c r="H31" s="20" t="n">
        <f aca="false">IF(A31=0,הנחות!$B$6,0)+IF(A31=1,הנחות!$B$4+הנחות!$B$5+'סעיפי מחיר'!$J$6*'סעיפי מחיר'!$G$6+'סעיפי מחיר'!$J$7*'סעיפי מחיר'!$G$7,0)</f>
        <v>0</v>
      </c>
      <c r="I31" s="20" t="n">
        <f aca="false">IF(A31&gt;=1,הנחות!$B$25,0)*B31</f>
        <v>3758.33333333333</v>
      </c>
      <c r="J31" s="20" t="n">
        <f aca="false">IF(A31&gt;=הנחות!$B$21,הנחות!$B$26,0)*B31</f>
        <v>1200</v>
      </c>
      <c r="K31" s="20" t="n">
        <f aca="false">C31+D31+E31+F31+G31-H31-I31-J31</f>
        <v>-3245.83333333333</v>
      </c>
      <c r="L31" s="20" t="n">
        <f aca="false">L30+K31</f>
        <v>-22866.6666666667</v>
      </c>
    </row>
    <row r="32" customFormat="false" ht="15" hidden="false" customHeight="false" outlineLevel="0" collapsed="false">
      <c r="A32" s="21" t="n">
        <v>24</v>
      </c>
      <c r="B32" s="21" t="n">
        <f aca="false">IF(A32&lt;=הנחות!$B$27,1,0)</f>
        <v>1</v>
      </c>
      <c r="C32" s="20" t="n">
        <f aca="false">IF(הנחות!$B$19=1,IF(A32=1,0.2*'סעיפי מחיר'!$I$5,0)+IF(A32=הנחות!$B$21,0.8*'סעיפי מחיר'!$I$5,0)*B32,IF(A32=1,0.2*'סעיפי מחיר'!$I$5,0)+IF(AND(A32&gt;=הנחות!$B$21,A32&lt;הנחות!$B$21+36),0.8*'סעיפי מחיר'!$I$5/36,0)*B32)</f>
        <v>0</v>
      </c>
      <c r="D32" s="20" t="n">
        <f aca="false">IF(A32=1,'סעיפי מחיר'!$I$6*'סעיפי מחיר'!$G$6+'סעיפי מחיר'!$I$7*'סעיפי מחיר'!$G$7,0)</f>
        <v>0</v>
      </c>
      <c r="E32" s="20" t="n">
        <f aca="false">IF(A32&gt;=הנחות!$B$21,'סעיפי מחיר'!$I$9,0)*B32</f>
        <v>1200</v>
      </c>
      <c r="F32" s="20" t="n">
        <f aca="false">IF(A32&gt;36,'סעיפי מחיר'!$I$8/12,0)*B32</f>
        <v>0</v>
      </c>
      <c r="G32" s="20" t="n">
        <f aca="false">IF(A32&gt;=הנחות!$B$21,תוספות!$H$15,0)*B32</f>
        <v>512.5</v>
      </c>
      <c r="H32" s="20" t="n">
        <f aca="false">IF(A32=0,הנחות!$B$6,0)+IF(A32=1,הנחות!$B$4+הנחות!$B$5+'סעיפי מחיר'!$J$6*'סעיפי מחיר'!$G$6+'סעיפי מחיר'!$J$7*'סעיפי מחיר'!$G$7,0)</f>
        <v>0</v>
      </c>
      <c r="I32" s="20" t="n">
        <f aca="false">IF(A32&gt;=1,הנחות!$B$25,0)*B32</f>
        <v>3758.33333333333</v>
      </c>
      <c r="J32" s="20" t="n">
        <f aca="false">IF(A32&gt;=הנחות!$B$21,הנחות!$B$26,0)*B32</f>
        <v>1200</v>
      </c>
      <c r="K32" s="20" t="n">
        <f aca="false">C32+D32+E32+F32+G32-H32-I32-J32</f>
        <v>-3245.83333333333</v>
      </c>
      <c r="L32" s="20" t="n">
        <f aca="false">L31+K32</f>
        <v>-26112.5</v>
      </c>
    </row>
    <row r="33" customFormat="false" ht="15" hidden="false" customHeight="false" outlineLevel="0" collapsed="false">
      <c r="A33" s="21" t="n">
        <v>25</v>
      </c>
      <c r="B33" s="21" t="n">
        <f aca="false">IF(A33&lt;=הנחות!$B$27,1,0)</f>
        <v>1</v>
      </c>
      <c r="C33" s="20" t="n">
        <f aca="false">IF(הנחות!$B$19=1,IF(A33=1,0.2*'סעיפי מחיר'!$I$5,0)+IF(A33=הנחות!$B$21,0.8*'סעיפי מחיר'!$I$5,0)*B33,IF(A33=1,0.2*'סעיפי מחיר'!$I$5,0)+IF(AND(A33&gt;=הנחות!$B$21,A33&lt;הנחות!$B$21+36),0.8*'סעיפי מחיר'!$I$5/36,0)*B33)</f>
        <v>0</v>
      </c>
      <c r="D33" s="20" t="n">
        <f aca="false">IF(A33=1,'סעיפי מחיר'!$I$6*'סעיפי מחיר'!$G$6+'סעיפי מחיר'!$I$7*'סעיפי מחיר'!$G$7,0)</f>
        <v>0</v>
      </c>
      <c r="E33" s="20" t="n">
        <f aca="false">IF(A33&gt;=הנחות!$B$21,'סעיפי מחיר'!$I$9,0)*B33</f>
        <v>1200</v>
      </c>
      <c r="F33" s="20" t="n">
        <f aca="false">IF(A33&gt;36,'סעיפי מחיר'!$I$8/12,0)*B33</f>
        <v>0</v>
      </c>
      <c r="G33" s="20" t="n">
        <f aca="false">IF(A33&gt;=הנחות!$B$21,תוספות!$H$15,0)*B33</f>
        <v>512.5</v>
      </c>
      <c r="H33" s="20" t="n">
        <f aca="false">IF(A33=0,הנחות!$B$6,0)+IF(A33=1,הנחות!$B$4+הנחות!$B$5+'סעיפי מחיר'!$J$6*'סעיפי מחיר'!$G$6+'סעיפי מחיר'!$J$7*'סעיפי מחיר'!$G$7,0)</f>
        <v>0</v>
      </c>
      <c r="I33" s="20" t="n">
        <f aca="false">IF(A33&gt;=1,הנחות!$B$25,0)*B33</f>
        <v>3758.33333333333</v>
      </c>
      <c r="J33" s="20" t="n">
        <f aca="false">IF(A33&gt;=הנחות!$B$21,הנחות!$B$26,0)*B33</f>
        <v>1200</v>
      </c>
      <c r="K33" s="20" t="n">
        <f aca="false">C33+D33+E33+F33+G33-H33-I33-J33</f>
        <v>-3245.83333333333</v>
      </c>
      <c r="L33" s="20" t="n">
        <f aca="false">L32+K33</f>
        <v>-29358.3333333333</v>
      </c>
    </row>
    <row r="34" customFormat="false" ht="15" hidden="false" customHeight="false" outlineLevel="0" collapsed="false">
      <c r="A34" s="21" t="n">
        <v>26</v>
      </c>
      <c r="B34" s="21" t="n">
        <f aca="false">IF(A34&lt;=הנחות!$B$27,1,0)</f>
        <v>1</v>
      </c>
      <c r="C34" s="20" t="n">
        <f aca="false">IF(הנחות!$B$19=1,IF(A34=1,0.2*'סעיפי מחיר'!$I$5,0)+IF(A34=הנחות!$B$21,0.8*'סעיפי מחיר'!$I$5,0)*B34,IF(A34=1,0.2*'סעיפי מחיר'!$I$5,0)+IF(AND(A34&gt;=הנחות!$B$21,A34&lt;הנחות!$B$21+36),0.8*'סעיפי מחיר'!$I$5/36,0)*B34)</f>
        <v>0</v>
      </c>
      <c r="D34" s="20" t="n">
        <f aca="false">IF(A34=1,'סעיפי מחיר'!$I$6*'סעיפי מחיר'!$G$6+'סעיפי מחיר'!$I$7*'סעיפי מחיר'!$G$7,0)</f>
        <v>0</v>
      </c>
      <c r="E34" s="20" t="n">
        <f aca="false">IF(A34&gt;=הנחות!$B$21,'סעיפי מחיר'!$I$9,0)*B34</f>
        <v>1200</v>
      </c>
      <c r="F34" s="20" t="n">
        <f aca="false">IF(A34&gt;36,'סעיפי מחיר'!$I$8/12,0)*B34</f>
        <v>0</v>
      </c>
      <c r="G34" s="20" t="n">
        <f aca="false">IF(A34&gt;=הנחות!$B$21,תוספות!$H$15,0)*B34</f>
        <v>512.5</v>
      </c>
      <c r="H34" s="20" t="n">
        <f aca="false">IF(A34=0,הנחות!$B$6,0)+IF(A34=1,הנחות!$B$4+הנחות!$B$5+'סעיפי מחיר'!$J$6*'סעיפי מחיר'!$G$6+'סעיפי מחיר'!$J$7*'סעיפי מחיר'!$G$7,0)</f>
        <v>0</v>
      </c>
      <c r="I34" s="20" t="n">
        <f aca="false">IF(A34&gt;=1,הנחות!$B$25,0)*B34</f>
        <v>3758.33333333333</v>
      </c>
      <c r="J34" s="20" t="n">
        <f aca="false">IF(A34&gt;=הנחות!$B$21,הנחות!$B$26,0)*B34</f>
        <v>1200</v>
      </c>
      <c r="K34" s="20" t="n">
        <f aca="false">C34+D34+E34+F34+G34-H34-I34-J34</f>
        <v>-3245.83333333333</v>
      </c>
      <c r="L34" s="20" t="n">
        <f aca="false">L33+K34</f>
        <v>-32604.1666666667</v>
      </c>
    </row>
    <row r="35" customFormat="false" ht="15" hidden="false" customHeight="false" outlineLevel="0" collapsed="false">
      <c r="A35" s="21" t="n">
        <v>27</v>
      </c>
      <c r="B35" s="21" t="n">
        <f aca="false">IF(A35&lt;=הנחות!$B$27,1,0)</f>
        <v>1</v>
      </c>
      <c r="C35" s="20" t="n">
        <f aca="false">IF(הנחות!$B$19=1,IF(A35=1,0.2*'סעיפי מחיר'!$I$5,0)+IF(A35=הנחות!$B$21,0.8*'סעיפי מחיר'!$I$5,0)*B35,IF(A35=1,0.2*'סעיפי מחיר'!$I$5,0)+IF(AND(A35&gt;=הנחות!$B$21,A35&lt;הנחות!$B$21+36),0.8*'סעיפי מחיר'!$I$5/36,0)*B35)</f>
        <v>0</v>
      </c>
      <c r="D35" s="20" t="n">
        <f aca="false">IF(A35=1,'סעיפי מחיר'!$I$6*'סעיפי מחיר'!$G$6+'סעיפי מחיר'!$I$7*'סעיפי מחיר'!$G$7,0)</f>
        <v>0</v>
      </c>
      <c r="E35" s="20" t="n">
        <f aca="false">IF(A35&gt;=הנחות!$B$21,'סעיפי מחיר'!$I$9,0)*B35</f>
        <v>1200</v>
      </c>
      <c r="F35" s="20" t="n">
        <f aca="false">IF(A35&gt;36,'סעיפי מחיר'!$I$8/12,0)*B35</f>
        <v>0</v>
      </c>
      <c r="G35" s="20" t="n">
        <f aca="false">IF(A35&gt;=הנחות!$B$21,תוספות!$H$15,0)*B35</f>
        <v>512.5</v>
      </c>
      <c r="H35" s="20" t="n">
        <f aca="false">IF(A35=0,הנחות!$B$6,0)+IF(A35=1,הנחות!$B$4+הנחות!$B$5+'סעיפי מחיר'!$J$6*'סעיפי מחיר'!$G$6+'סעיפי מחיר'!$J$7*'סעיפי מחיר'!$G$7,0)</f>
        <v>0</v>
      </c>
      <c r="I35" s="20" t="n">
        <f aca="false">IF(A35&gt;=1,הנחות!$B$25,0)*B35</f>
        <v>3758.33333333333</v>
      </c>
      <c r="J35" s="20" t="n">
        <f aca="false">IF(A35&gt;=הנחות!$B$21,הנחות!$B$26,0)*B35</f>
        <v>1200</v>
      </c>
      <c r="K35" s="20" t="n">
        <f aca="false">C35+D35+E35+F35+G35-H35-I35-J35</f>
        <v>-3245.83333333333</v>
      </c>
      <c r="L35" s="20" t="n">
        <f aca="false">L34+K35</f>
        <v>-35850</v>
      </c>
    </row>
    <row r="36" customFormat="false" ht="15" hidden="false" customHeight="false" outlineLevel="0" collapsed="false">
      <c r="A36" s="21" t="n">
        <v>28</v>
      </c>
      <c r="B36" s="21" t="n">
        <f aca="false">IF(A36&lt;=הנחות!$B$27,1,0)</f>
        <v>1</v>
      </c>
      <c r="C36" s="20" t="n">
        <f aca="false">IF(הנחות!$B$19=1,IF(A36=1,0.2*'סעיפי מחיר'!$I$5,0)+IF(A36=הנחות!$B$21,0.8*'סעיפי מחיר'!$I$5,0)*B36,IF(A36=1,0.2*'סעיפי מחיר'!$I$5,0)+IF(AND(A36&gt;=הנחות!$B$21,A36&lt;הנחות!$B$21+36),0.8*'סעיפי מחיר'!$I$5/36,0)*B36)</f>
        <v>0</v>
      </c>
      <c r="D36" s="20" t="n">
        <f aca="false">IF(A36=1,'סעיפי מחיר'!$I$6*'סעיפי מחיר'!$G$6+'סעיפי מחיר'!$I$7*'סעיפי מחיר'!$G$7,0)</f>
        <v>0</v>
      </c>
      <c r="E36" s="20" t="n">
        <f aca="false">IF(A36&gt;=הנחות!$B$21,'סעיפי מחיר'!$I$9,0)*B36</f>
        <v>1200</v>
      </c>
      <c r="F36" s="20" t="n">
        <f aca="false">IF(A36&gt;36,'סעיפי מחיר'!$I$8/12,0)*B36</f>
        <v>0</v>
      </c>
      <c r="G36" s="20" t="n">
        <f aca="false">IF(A36&gt;=הנחות!$B$21,תוספות!$H$15,0)*B36</f>
        <v>512.5</v>
      </c>
      <c r="H36" s="20" t="n">
        <f aca="false">IF(A36=0,הנחות!$B$6,0)+IF(A36=1,הנחות!$B$4+הנחות!$B$5+'סעיפי מחיר'!$J$6*'סעיפי מחיר'!$G$6+'סעיפי מחיר'!$J$7*'סעיפי מחיר'!$G$7,0)</f>
        <v>0</v>
      </c>
      <c r="I36" s="20" t="n">
        <f aca="false">IF(A36&gt;=1,הנחות!$B$25,0)*B36</f>
        <v>3758.33333333333</v>
      </c>
      <c r="J36" s="20" t="n">
        <f aca="false">IF(A36&gt;=הנחות!$B$21,הנחות!$B$26,0)*B36</f>
        <v>1200</v>
      </c>
      <c r="K36" s="20" t="n">
        <f aca="false">C36+D36+E36+F36+G36-H36-I36-J36</f>
        <v>-3245.83333333333</v>
      </c>
      <c r="L36" s="20" t="n">
        <f aca="false">L35+K36</f>
        <v>-39095.8333333333</v>
      </c>
    </row>
    <row r="37" customFormat="false" ht="15" hidden="false" customHeight="false" outlineLevel="0" collapsed="false">
      <c r="A37" s="21" t="n">
        <v>29</v>
      </c>
      <c r="B37" s="21" t="n">
        <f aca="false">IF(A37&lt;=הנחות!$B$27,1,0)</f>
        <v>1</v>
      </c>
      <c r="C37" s="20" t="n">
        <f aca="false">IF(הנחות!$B$19=1,IF(A37=1,0.2*'סעיפי מחיר'!$I$5,0)+IF(A37=הנחות!$B$21,0.8*'סעיפי מחיר'!$I$5,0)*B37,IF(A37=1,0.2*'סעיפי מחיר'!$I$5,0)+IF(AND(A37&gt;=הנחות!$B$21,A37&lt;הנחות!$B$21+36),0.8*'סעיפי מחיר'!$I$5/36,0)*B37)</f>
        <v>0</v>
      </c>
      <c r="D37" s="20" t="n">
        <f aca="false">IF(A37=1,'סעיפי מחיר'!$I$6*'סעיפי מחיר'!$G$6+'סעיפי מחיר'!$I$7*'סעיפי מחיר'!$G$7,0)</f>
        <v>0</v>
      </c>
      <c r="E37" s="20" t="n">
        <f aca="false">IF(A37&gt;=הנחות!$B$21,'סעיפי מחיר'!$I$9,0)*B37</f>
        <v>1200</v>
      </c>
      <c r="F37" s="20" t="n">
        <f aca="false">IF(A37&gt;36,'סעיפי מחיר'!$I$8/12,0)*B37</f>
        <v>0</v>
      </c>
      <c r="G37" s="20" t="n">
        <f aca="false">IF(A37&gt;=הנחות!$B$21,תוספות!$H$15,0)*B37</f>
        <v>512.5</v>
      </c>
      <c r="H37" s="20" t="n">
        <f aca="false">IF(A37=0,הנחות!$B$6,0)+IF(A37=1,הנחות!$B$4+הנחות!$B$5+'סעיפי מחיר'!$J$6*'סעיפי מחיר'!$G$6+'סעיפי מחיר'!$J$7*'סעיפי מחיר'!$G$7,0)</f>
        <v>0</v>
      </c>
      <c r="I37" s="20" t="n">
        <f aca="false">IF(A37&gt;=1,הנחות!$B$25,0)*B37</f>
        <v>3758.33333333333</v>
      </c>
      <c r="J37" s="20" t="n">
        <f aca="false">IF(A37&gt;=הנחות!$B$21,הנחות!$B$26,0)*B37</f>
        <v>1200</v>
      </c>
      <c r="K37" s="20" t="n">
        <f aca="false">C37+D37+E37+F37+G37-H37-I37-J37</f>
        <v>-3245.83333333333</v>
      </c>
      <c r="L37" s="20" t="n">
        <f aca="false">L36+K37</f>
        <v>-42341.6666666667</v>
      </c>
    </row>
    <row r="38" customFormat="false" ht="15" hidden="false" customHeight="false" outlineLevel="0" collapsed="false">
      <c r="A38" s="21" t="n">
        <v>30</v>
      </c>
      <c r="B38" s="21" t="n">
        <f aca="false">IF(A38&lt;=הנחות!$B$27,1,0)</f>
        <v>1</v>
      </c>
      <c r="C38" s="20" t="n">
        <f aca="false">IF(הנחות!$B$19=1,IF(A38=1,0.2*'סעיפי מחיר'!$I$5,0)+IF(A38=הנחות!$B$21,0.8*'סעיפי מחיר'!$I$5,0)*B38,IF(A38=1,0.2*'סעיפי מחיר'!$I$5,0)+IF(AND(A38&gt;=הנחות!$B$21,A38&lt;הנחות!$B$21+36),0.8*'סעיפי מחיר'!$I$5/36,0)*B38)</f>
        <v>0</v>
      </c>
      <c r="D38" s="20" t="n">
        <f aca="false">IF(A38=1,'סעיפי מחיר'!$I$6*'סעיפי מחיר'!$G$6+'סעיפי מחיר'!$I$7*'סעיפי מחיר'!$G$7,0)</f>
        <v>0</v>
      </c>
      <c r="E38" s="20" t="n">
        <f aca="false">IF(A38&gt;=הנחות!$B$21,'סעיפי מחיר'!$I$9,0)*B38</f>
        <v>1200</v>
      </c>
      <c r="F38" s="20" t="n">
        <f aca="false">IF(A38&gt;36,'סעיפי מחיר'!$I$8/12,0)*B38</f>
        <v>0</v>
      </c>
      <c r="G38" s="20" t="n">
        <f aca="false">IF(A38&gt;=הנחות!$B$21,תוספות!$H$15,0)*B38</f>
        <v>512.5</v>
      </c>
      <c r="H38" s="20" t="n">
        <f aca="false">IF(A38=0,הנחות!$B$6,0)+IF(A38=1,הנחות!$B$4+הנחות!$B$5+'סעיפי מחיר'!$J$6*'סעיפי מחיר'!$G$6+'סעיפי מחיר'!$J$7*'סעיפי מחיר'!$G$7,0)</f>
        <v>0</v>
      </c>
      <c r="I38" s="20" t="n">
        <f aca="false">IF(A38&gt;=1,הנחות!$B$25,0)*B38</f>
        <v>3758.33333333333</v>
      </c>
      <c r="J38" s="20" t="n">
        <f aca="false">IF(A38&gt;=הנחות!$B$21,הנחות!$B$26,0)*B38</f>
        <v>1200</v>
      </c>
      <c r="K38" s="20" t="n">
        <f aca="false">C38+D38+E38+F38+G38-H38-I38-J38</f>
        <v>-3245.83333333333</v>
      </c>
      <c r="L38" s="20" t="n">
        <f aca="false">L37+K38</f>
        <v>-45587.5</v>
      </c>
    </row>
    <row r="39" customFormat="false" ht="15" hidden="false" customHeight="false" outlineLevel="0" collapsed="false">
      <c r="A39" s="21" t="n">
        <v>31</v>
      </c>
      <c r="B39" s="21" t="n">
        <f aca="false">IF(A39&lt;=הנחות!$B$27,1,0)</f>
        <v>1</v>
      </c>
      <c r="C39" s="20" t="n">
        <f aca="false">IF(הנחות!$B$19=1,IF(A39=1,0.2*'סעיפי מחיר'!$I$5,0)+IF(A39=הנחות!$B$21,0.8*'סעיפי מחיר'!$I$5,0)*B39,IF(A39=1,0.2*'סעיפי מחיר'!$I$5,0)+IF(AND(A39&gt;=הנחות!$B$21,A39&lt;הנחות!$B$21+36),0.8*'סעיפי מחיר'!$I$5/36,0)*B39)</f>
        <v>0</v>
      </c>
      <c r="D39" s="20" t="n">
        <f aca="false">IF(A39=1,'סעיפי מחיר'!$I$6*'סעיפי מחיר'!$G$6+'סעיפי מחיר'!$I$7*'סעיפי מחיר'!$G$7,0)</f>
        <v>0</v>
      </c>
      <c r="E39" s="20" t="n">
        <f aca="false">IF(A39&gt;=הנחות!$B$21,'סעיפי מחיר'!$I$9,0)*B39</f>
        <v>1200</v>
      </c>
      <c r="F39" s="20" t="n">
        <f aca="false">IF(A39&gt;36,'סעיפי מחיר'!$I$8/12,0)*B39</f>
        <v>0</v>
      </c>
      <c r="G39" s="20" t="n">
        <f aca="false">IF(A39&gt;=הנחות!$B$21,תוספות!$H$15,0)*B39</f>
        <v>512.5</v>
      </c>
      <c r="H39" s="20" t="n">
        <f aca="false">IF(A39=0,הנחות!$B$6,0)+IF(A39=1,הנחות!$B$4+הנחות!$B$5+'סעיפי מחיר'!$J$6*'סעיפי מחיר'!$G$6+'סעיפי מחיר'!$J$7*'סעיפי מחיר'!$G$7,0)</f>
        <v>0</v>
      </c>
      <c r="I39" s="20" t="n">
        <f aca="false">IF(A39&gt;=1,הנחות!$B$25,0)*B39</f>
        <v>3758.33333333333</v>
      </c>
      <c r="J39" s="20" t="n">
        <f aca="false">IF(A39&gt;=הנחות!$B$21,הנחות!$B$26,0)*B39</f>
        <v>1200</v>
      </c>
      <c r="K39" s="20" t="n">
        <f aca="false">C39+D39+E39+F39+G39-H39-I39-J39</f>
        <v>-3245.83333333333</v>
      </c>
      <c r="L39" s="20" t="n">
        <f aca="false">L38+K39</f>
        <v>-48833.3333333333</v>
      </c>
    </row>
    <row r="40" customFormat="false" ht="15" hidden="false" customHeight="false" outlineLevel="0" collapsed="false">
      <c r="A40" s="21" t="n">
        <v>32</v>
      </c>
      <c r="B40" s="21" t="n">
        <f aca="false">IF(A40&lt;=הנחות!$B$27,1,0)</f>
        <v>1</v>
      </c>
      <c r="C40" s="20" t="n">
        <f aca="false">IF(הנחות!$B$19=1,IF(A40=1,0.2*'סעיפי מחיר'!$I$5,0)+IF(A40=הנחות!$B$21,0.8*'סעיפי מחיר'!$I$5,0)*B40,IF(A40=1,0.2*'סעיפי מחיר'!$I$5,0)+IF(AND(A40&gt;=הנחות!$B$21,A40&lt;הנחות!$B$21+36),0.8*'סעיפי מחיר'!$I$5/36,0)*B40)</f>
        <v>0</v>
      </c>
      <c r="D40" s="20" t="n">
        <f aca="false">IF(A40=1,'סעיפי מחיר'!$I$6*'סעיפי מחיר'!$G$6+'סעיפי מחיר'!$I$7*'סעיפי מחיר'!$G$7,0)</f>
        <v>0</v>
      </c>
      <c r="E40" s="20" t="n">
        <f aca="false">IF(A40&gt;=הנחות!$B$21,'סעיפי מחיר'!$I$9,0)*B40</f>
        <v>1200</v>
      </c>
      <c r="F40" s="20" t="n">
        <f aca="false">IF(A40&gt;36,'סעיפי מחיר'!$I$8/12,0)*B40</f>
        <v>0</v>
      </c>
      <c r="G40" s="20" t="n">
        <f aca="false">IF(A40&gt;=הנחות!$B$21,תוספות!$H$15,0)*B40</f>
        <v>512.5</v>
      </c>
      <c r="H40" s="20" t="n">
        <f aca="false">IF(A40=0,הנחות!$B$6,0)+IF(A40=1,הנחות!$B$4+הנחות!$B$5+'סעיפי מחיר'!$J$6*'סעיפי מחיר'!$G$6+'סעיפי מחיר'!$J$7*'סעיפי מחיר'!$G$7,0)</f>
        <v>0</v>
      </c>
      <c r="I40" s="20" t="n">
        <f aca="false">IF(A40&gt;=1,הנחות!$B$25,0)*B40</f>
        <v>3758.33333333333</v>
      </c>
      <c r="J40" s="20" t="n">
        <f aca="false">IF(A40&gt;=הנחות!$B$21,הנחות!$B$26,0)*B40</f>
        <v>1200</v>
      </c>
      <c r="K40" s="20" t="n">
        <f aca="false">C40+D40+E40+F40+G40-H40-I40-J40</f>
        <v>-3245.83333333333</v>
      </c>
      <c r="L40" s="20" t="n">
        <f aca="false">L39+K40</f>
        <v>-52079.1666666667</v>
      </c>
    </row>
    <row r="41" customFormat="false" ht="15" hidden="false" customHeight="false" outlineLevel="0" collapsed="false">
      <c r="A41" s="21" t="n">
        <v>33</v>
      </c>
      <c r="B41" s="21" t="n">
        <f aca="false">IF(A41&lt;=הנחות!$B$27,1,0)</f>
        <v>1</v>
      </c>
      <c r="C41" s="20" t="n">
        <f aca="false">IF(הנחות!$B$19=1,IF(A41=1,0.2*'סעיפי מחיר'!$I$5,0)+IF(A41=הנחות!$B$21,0.8*'סעיפי מחיר'!$I$5,0)*B41,IF(A41=1,0.2*'סעיפי מחיר'!$I$5,0)+IF(AND(A41&gt;=הנחות!$B$21,A41&lt;הנחות!$B$21+36),0.8*'סעיפי מחיר'!$I$5/36,0)*B41)</f>
        <v>0</v>
      </c>
      <c r="D41" s="20" t="n">
        <f aca="false">IF(A41=1,'סעיפי מחיר'!$I$6*'סעיפי מחיר'!$G$6+'סעיפי מחיר'!$I$7*'סעיפי מחיר'!$G$7,0)</f>
        <v>0</v>
      </c>
      <c r="E41" s="20" t="n">
        <f aca="false">IF(A41&gt;=הנחות!$B$21,'סעיפי מחיר'!$I$9,0)*B41</f>
        <v>1200</v>
      </c>
      <c r="F41" s="20" t="n">
        <f aca="false">IF(A41&gt;36,'סעיפי מחיר'!$I$8/12,0)*B41</f>
        <v>0</v>
      </c>
      <c r="G41" s="20" t="n">
        <f aca="false">IF(A41&gt;=הנחות!$B$21,תוספות!$H$15,0)*B41</f>
        <v>512.5</v>
      </c>
      <c r="H41" s="20" t="n">
        <f aca="false">IF(A41=0,הנחות!$B$6,0)+IF(A41=1,הנחות!$B$4+הנחות!$B$5+'סעיפי מחיר'!$J$6*'סעיפי מחיר'!$G$6+'סעיפי מחיר'!$J$7*'סעיפי מחיר'!$G$7,0)</f>
        <v>0</v>
      </c>
      <c r="I41" s="20" t="n">
        <f aca="false">IF(A41&gt;=1,הנחות!$B$25,0)*B41</f>
        <v>3758.33333333333</v>
      </c>
      <c r="J41" s="20" t="n">
        <f aca="false">IF(A41&gt;=הנחות!$B$21,הנחות!$B$26,0)*B41</f>
        <v>1200</v>
      </c>
      <c r="K41" s="20" t="n">
        <f aca="false">C41+D41+E41+F41+G41-H41-I41-J41</f>
        <v>-3245.83333333333</v>
      </c>
      <c r="L41" s="20" t="n">
        <f aca="false">L40+K41</f>
        <v>-55325</v>
      </c>
    </row>
    <row r="42" customFormat="false" ht="15" hidden="false" customHeight="false" outlineLevel="0" collapsed="false">
      <c r="A42" s="21" t="n">
        <v>34</v>
      </c>
      <c r="B42" s="21" t="n">
        <f aca="false">IF(A42&lt;=הנחות!$B$27,1,0)</f>
        <v>1</v>
      </c>
      <c r="C42" s="20" t="n">
        <f aca="false">IF(הנחות!$B$19=1,IF(A42=1,0.2*'סעיפי מחיר'!$I$5,0)+IF(A42=הנחות!$B$21,0.8*'סעיפי מחיר'!$I$5,0)*B42,IF(A42=1,0.2*'סעיפי מחיר'!$I$5,0)+IF(AND(A42&gt;=הנחות!$B$21,A42&lt;הנחות!$B$21+36),0.8*'סעיפי מחיר'!$I$5/36,0)*B42)</f>
        <v>0</v>
      </c>
      <c r="D42" s="20" t="n">
        <f aca="false">IF(A42=1,'סעיפי מחיר'!$I$6*'סעיפי מחיר'!$G$6+'סעיפי מחיר'!$I$7*'סעיפי מחיר'!$G$7,0)</f>
        <v>0</v>
      </c>
      <c r="E42" s="20" t="n">
        <f aca="false">IF(A42&gt;=הנחות!$B$21,'סעיפי מחיר'!$I$9,0)*B42</f>
        <v>1200</v>
      </c>
      <c r="F42" s="20" t="n">
        <f aca="false">IF(A42&gt;36,'סעיפי מחיר'!$I$8/12,0)*B42</f>
        <v>0</v>
      </c>
      <c r="G42" s="20" t="n">
        <f aca="false">IF(A42&gt;=הנחות!$B$21,תוספות!$H$15,0)*B42</f>
        <v>512.5</v>
      </c>
      <c r="H42" s="20" t="n">
        <f aca="false">IF(A42=0,הנחות!$B$6,0)+IF(A42=1,הנחות!$B$4+הנחות!$B$5+'סעיפי מחיר'!$J$6*'סעיפי מחיר'!$G$6+'סעיפי מחיר'!$J$7*'סעיפי מחיר'!$G$7,0)</f>
        <v>0</v>
      </c>
      <c r="I42" s="20" t="n">
        <f aca="false">IF(A42&gt;=1,הנחות!$B$25,0)*B42</f>
        <v>3758.33333333333</v>
      </c>
      <c r="J42" s="20" t="n">
        <f aca="false">IF(A42&gt;=הנחות!$B$21,הנחות!$B$26,0)*B42</f>
        <v>1200</v>
      </c>
      <c r="K42" s="20" t="n">
        <f aca="false">C42+D42+E42+F42+G42-H42-I42-J42</f>
        <v>-3245.83333333333</v>
      </c>
      <c r="L42" s="20" t="n">
        <f aca="false">L41+K42</f>
        <v>-58570.8333333333</v>
      </c>
    </row>
    <row r="43" customFormat="false" ht="15" hidden="false" customHeight="false" outlineLevel="0" collapsed="false">
      <c r="A43" s="21" t="n">
        <v>35</v>
      </c>
      <c r="B43" s="21" t="n">
        <f aca="false">IF(A43&lt;=הנחות!$B$27,1,0)</f>
        <v>1</v>
      </c>
      <c r="C43" s="20" t="n">
        <f aca="false">IF(הנחות!$B$19=1,IF(A43=1,0.2*'סעיפי מחיר'!$I$5,0)+IF(A43=הנחות!$B$21,0.8*'סעיפי מחיר'!$I$5,0)*B43,IF(A43=1,0.2*'סעיפי מחיר'!$I$5,0)+IF(AND(A43&gt;=הנחות!$B$21,A43&lt;הנחות!$B$21+36),0.8*'סעיפי מחיר'!$I$5/36,0)*B43)</f>
        <v>0</v>
      </c>
      <c r="D43" s="20" t="n">
        <f aca="false">IF(A43=1,'סעיפי מחיר'!$I$6*'סעיפי מחיר'!$G$6+'סעיפי מחיר'!$I$7*'סעיפי מחיר'!$G$7,0)</f>
        <v>0</v>
      </c>
      <c r="E43" s="20" t="n">
        <f aca="false">IF(A43&gt;=הנחות!$B$21,'סעיפי מחיר'!$I$9,0)*B43</f>
        <v>1200</v>
      </c>
      <c r="F43" s="20" t="n">
        <f aca="false">IF(A43&gt;36,'סעיפי מחיר'!$I$8/12,0)*B43</f>
        <v>0</v>
      </c>
      <c r="G43" s="20" t="n">
        <f aca="false">IF(A43&gt;=הנחות!$B$21,תוספות!$H$15,0)*B43</f>
        <v>512.5</v>
      </c>
      <c r="H43" s="20" t="n">
        <f aca="false">IF(A43=0,הנחות!$B$6,0)+IF(A43=1,הנחות!$B$4+הנחות!$B$5+'סעיפי מחיר'!$J$6*'סעיפי מחיר'!$G$6+'סעיפי מחיר'!$J$7*'סעיפי מחיר'!$G$7,0)</f>
        <v>0</v>
      </c>
      <c r="I43" s="20" t="n">
        <f aca="false">IF(A43&gt;=1,הנחות!$B$25,0)*B43</f>
        <v>3758.33333333333</v>
      </c>
      <c r="J43" s="20" t="n">
        <f aca="false">IF(A43&gt;=הנחות!$B$21,הנחות!$B$26,0)*B43</f>
        <v>1200</v>
      </c>
      <c r="K43" s="20" t="n">
        <f aca="false">C43+D43+E43+F43+G43-H43-I43-J43</f>
        <v>-3245.83333333333</v>
      </c>
      <c r="L43" s="20" t="n">
        <f aca="false">L42+K43</f>
        <v>-61816.6666666667</v>
      </c>
    </row>
    <row r="44" customFormat="false" ht="15" hidden="false" customHeight="false" outlineLevel="0" collapsed="false">
      <c r="A44" s="21" t="n">
        <v>36</v>
      </c>
      <c r="B44" s="21" t="n">
        <f aca="false">IF(A44&lt;=הנחות!$B$27,1,0)</f>
        <v>1</v>
      </c>
      <c r="C44" s="20" t="n">
        <f aca="false">IF(הנחות!$B$19=1,IF(A44=1,0.2*'סעיפי מחיר'!$I$5,0)+IF(A44=הנחות!$B$21,0.8*'סעיפי מחיר'!$I$5,0)*B44,IF(A44=1,0.2*'סעיפי מחיר'!$I$5,0)+IF(AND(A44&gt;=הנחות!$B$21,A44&lt;הנחות!$B$21+36),0.8*'סעיפי מחיר'!$I$5/36,0)*B44)</f>
        <v>0</v>
      </c>
      <c r="D44" s="20" t="n">
        <f aca="false">IF(A44=1,'סעיפי מחיר'!$I$6*'סעיפי מחיר'!$G$6+'סעיפי מחיר'!$I$7*'סעיפי מחיר'!$G$7,0)</f>
        <v>0</v>
      </c>
      <c r="E44" s="20" t="n">
        <f aca="false">IF(A44&gt;=הנחות!$B$21,'סעיפי מחיר'!$I$9,0)*B44</f>
        <v>1200</v>
      </c>
      <c r="F44" s="20" t="n">
        <f aca="false">IF(A44&gt;36,'סעיפי מחיר'!$I$8/12,0)*B44</f>
        <v>0</v>
      </c>
      <c r="G44" s="20" t="n">
        <f aca="false">IF(A44&gt;=הנחות!$B$21,תוספות!$H$15,0)*B44</f>
        <v>512.5</v>
      </c>
      <c r="H44" s="20" t="n">
        <f aca="false">IF(A44=0,הנחות!$B$6,0)+IF(A44=1,הנחות!$B$4+הנחות!$B$5+'סעיפי מחיר'!$J$6*'סעיפי מחיר'!$G$6+'סעיפי מחיר'!$J$7*'סעיפי מחיר'!$G$7,0)</f>
        <v>0</v>
      </c>
      <c r="I44" s="20" t="n">
        <f aca="false">IF(A44&gt;=1,הנחות!$B$25,0)*B44</f>
        <v>3758.33333333333</v>
      </c>
      <c r="J44" s="20" t="n">
        <f aca="false">IF(A44&gt;=הנחות!$B$21,הנחות!$B$26,0)*B44</f>
        <v>1200</v>
      </c>
      <c r="K44" s="20" t="n">
        <f aca="false">C44+D44+E44+F44+G44-H44-I44-J44</f>
        <v>-3245.83333333333</v>
      </c>
      <c r="L44" s="20" t="n">
        <f aca="false">L43+K44</f>
        <v>-65062.5</v>
      </c>
    </row>
    <row r="45" customFormat="false" ht="15" hidden="false" customHeight="false" outlineLevel="0" collapsed="false">
      <c r="A45" s="21" t="n">
        <v>37</v>
      </c>
      <c r="B45" s="21" t="n">
        <f aca="false">IF(A45&lt;=הנחות!$B$27,1,0)</f>
        <v>1</v>
      </c>
      <c r="C45" s="20" t="n">
        <f aca="false">IF(הנחות!$B$19=1,IF(A45=1,0.2*'סעיפי מחיר'!$I$5,0)+IF(A45=הנחות!$B$21,0.8*'סעיפי מחיר'!$I$5,0)*B45,IF(A45=1,0.2*'סעיפי מחיר'!$I$5,0)+IF(AND(A45&gt;=הנחות!$B$21,A45&lt;הנחות!$B$21+36),0.8*'סעיפי מחיר'!$I$5/36,0)*B45)</f>
        <v>0</v>
      </c>
      <c r="D45" s="20" t="n">
        <f aca="false">IF(A45=1,'סעיפי מחיר'!$I$6*'סעיפי מחיר'!$G$6+'סעיפי מחיר'!$I$7*'סעיפי מחיר'!$G$7,0)</f>
        <v>0</v>
      </c>
      <c r="E45" s="20" t="n">
        <f aca="false">IF(A45&gt;=הנחות!$B$21,'סעיפי מחיר'!$I$9,0)*B45</f>
        <v>1200</v>
      </c>
      <c r="F45" s="20" t="n">
        <f aca="false">IF(A45&gt;36,'סעיפי מחיר'!$I$8/12,0)*B45</f>
        <v>1666.66666666667</v>
      </c>
      <c r="G45" s="20" t="n">
        <f aca="false">IF(A45&gt;=הנחות!$B$21,תוספות!$H$15,0)*B45</f>
        <v>512.5</v>
      </c>
      <c r="H45" s="20" t="n">
        <f aca="false">IF(A45=0,הנחות!$B$6,0)+IF(A45=1,הנחות!$B$4+הנחות!$B$5+'סעיפי מחיר'!$J$6*'סעיפי מחיר'!$G$6+'סעיפי מחיר'!$J$7*'סעיפי מחיר'!$G$7,0)</f>
        <v>0</v>
      </c>
      <c r="I45" s="20" t="n">
        <f aca="false">IF(A45&gt;=1,הנחות!$B$25,0)*B45</f>
        <v>3758.33333333333</v>
      </c>
      <c r="J45" s="20" t="n">
        <f aca="false">IF(A45&gt;=הנחות!$B$21,הנחות!$B$26,0)*B45</f>
        <v>1200</v>
      </c>
      <c r="K45" s="20" t="n">
        <f aca="false">C45+D45+E45+F45+G45-H45-I45-J45</f>
        <v>-1579.16666666667</v>
      </c>
      <c r="L45" s="20" t="n">
        <f aca="false">L44+K45</f>
        <v>-66641.6666666667</v>
      </c>
    </row>
    <row r="46" customFormat="false" ht="15" hidden="false" customHeight="false" outlineLevel="0" collapsed="false">
      <c r="A46" s="21" t="n">
        <v>38</v>
      </c>
      <c r="B46" s="21" t="n">
        <f aca="false">IF(A46&lt;=הנחות!$B$27,1,0)</f>
        <v>1</v>
      </c>
      <c r="C46" s="20" t="n">
        <f aca="false">IF(הנחות!$B$19=1,IF(A46=1,0.2*'סעיפי מחיר'!$I$5,0)+IF(A46=הנחות!$B$21,0.8*'סעיפי מחיר'!$I$5,0)*B46,IF(A46=1,0.2*'סעיפי מחיר'!$I$5,0)+IF(AND(A46&gt;=הנחות!$B$21,A46&lt;הנחות!$B$21+36),0.8*'סעיפי מחיר'!$I$5/36,0)*B46)</f>
        <v>0</v>
      </c>
      <c r="D46" s="20" t="n">
        <f aca="false">IF(A46=1,'סעיפי מחיר'!$I$6*'סעיפי מחיר'!$G$6+'סעיפי מחיר'!$I$7*'סעיפי מחיר'!$G$7,0)</f>
        <v>0</v>
      </c>
      <c r="E46" s="20" t="n">
        <f aca="false">IF(A46&gt;=הנחות!$B$21,'סעיפי מחיר'!$I$9,0)*B46</f>
        <v>1200</v>
      </c>
      <c r="F46" s="20" t="n">
        <f aca="false">IF(A46&gt;36,'סעיפי מחיר'!$I$8/12,0)*B46</f>
        <v>1666.66666666667</v>
      </c>
      <c r="G46" s="20" t="n">
        <f aca="false">IF(A46&gt;=הנחות!$B$21,תוספות!$H$15,0)*B46</f>
        <v>512.5</v>
      </c>
      <c r="H46" s="20" t="n">
        <f aca="false">IF(A46=0,הנחות!$B$6,0)+IF(A46=1,הנחות!$B$4+הנחות!$B$5+'סעיפי מחיר'!$J$6*'סעיפי מחיר'!$G$6+'סעיפי מחיר'!$J$7*'סעיפי מחיר'!$G$7,0)</f>
        <v>0</v>
      </c>
      <c r="I46" s="20" t="n">
        <f aca="false">IF(A46&gt;=1,הנחות!$B$25,0)*B46</f>
        <v>3758.33333333333</v>
      </c>
      <c r="J46" s="20" t="n">
        <f aca="false">IF(A46&gt;=הנחות!$B$21,הנחות!$B$26,0)*B46</f>
        <v>1200</v>
      </c>
      <c r="K46" s="20" t="n">
        <f aca="false">C46+D46+E46+F46+G46-H46-I46-J46</f>
        <v>-1579.16666666667</v>
      </c>
      <c r="L46" s="20" t="n">
        <f aca="false">L45+K46</f>
        <v>-68220.8333333334</v>
      </c>
    </row>
    <row r="47" customFormat="false" ht="15" hidden="false" customHeight="false" outlineLevel="0" collapsed="false">
      <c r="A47" s="21" t="n">
        <v>39</v>
      </c>
      <c r="B47" s="21" t="n">
        <f aca="false">IF(A47&lt;=הנחות!$B$27,1,0)</f>
        <v>1</v>
      </c>
      <c r="C47" s="20" t="n">
        <f aca="false">IF(הנחות!$B$19=1,IF(A47=1,0.2*'סעיפי מחיר'!$I$5,0)+IF(A47=הנחות!$B$21,0.8*'סעיפי מחיר'!$I$5,0)*B47,IF(A47=1,0.2*'סעיפי מחיר'!$I$5,0)+IF(AND(A47&gt;=הנחות!$B$21,A47&lt;הנחות!$B$21+36),0.8*'סעיפי מחיר'!$I$5/36,0)*B47)</f>
        <v>0</v>
      </c>
      <c r="D47" s="20" t="n">
        <f aca="false">IF(A47=1,'סעיפי מחיר'!$I$6*'סעיפי מחיר'!$G$6+'סעיפי מחיר'!$I$7*'סעיפי מחיר'!$G$7,0)</f>
        <v>0</v>
      </c>
      <c r="E47" s="20" t="n">
        <f aca="false">IF(A47&gt;=הנחות!$B$21,'סעיפי מחיר'!$I$9,0)*B47</f>
        <v>1200</v>
      </c>
      <c r="F47" s="20" t="n">
        <f aca="false">IF(A47&gt;36,'סעיפי מחיר'!$I$8/12,0)*B47</f>
        <v>1666.66666666667</v>
      </c>
      <c r="G47" s="20" t="n">
        <f aca="false">IF(A47&gt;=הנחות!$B$21,תוספות!$H$15,0)*B47</f>
        <v>512.5</v>
      </c>
      <c r="H47" s="20" t="n">
        <f aca="false">IF(A47=0,הנחות!$B$6,0)+IF(A47=1,הנחות!$B$4+הנחות!$B$5+'סעיפי מחיר'!$J$6*'סעיפי מחיר'!$G$6+'סעיפי מחיר'!$J$7*'סעיפי מחיר'!$G$7,0)</f>
        <v>0</v>
      </c>
      <c r="I47" s="20" t="n">
        <f aca="false">IF(A47&gt;=1,הנחות!$B$25,0)*B47</f>
        <v>3758.33333333333</v>
      </c>
      <c r="J47" s="20" t="n">
        <f aca="false">IF(A47&gt;=הנחות!$B$21,הנחות!$B$26,0)*B47</f>
        <v>1200</v>
      </c>
      <c r="K47" s="20" t="n">
        <f aca="false">C47+D47+E47+F47+G47-H47-I47-J47</f>
        <v>-1579.16666666667</v>
      </c>
      <c r="L47" s="20" t="n">
        <f aca="false">L46+K47</f>
        <v>-69800</v>
      </c>
    </row>
    <row r="48" customFormat="false" ht="15" hidden="false" customHeight="false" outlineLevel="0" collapsed="false">
      <c r="A48" s="21" t="n">
        <v>40</v>
      </c>
      <c r="B48" s="21" t="n">
        <f aca="false">IF(A48&lt;=הנחות!$B$27,1,0)</f>
        <v>1</v>
      </c>
      <c r="C48" s="20" t="n">
        <f aca="false">IF(הנחות!$B$19=1,IF(A48=1,0.2*'סעיפי מחיר'!$I$5,0)+IF(A48=הנחות!$B$21,0.8*'סעיפי מחיר'!$I$5,0)*B48,IF(A48=1,0.2*'סעיפי מחיר'!$I$5,0)+IF(AND(A48&gt;=הנחות!$B$21,A48&lt;הנחות!$B$21+36),0.8*'סעיפי מחיר'!$I$5/36,0)*B48)</f>
        <v>0</v>
      </c>
      <c r="D48" s="20" t="n">
        <f aca="false">IF(A48=1,'סעיפי מחיר'!$I$6*'סעיפי מחיר'!$G$6+'סעיפי מחיר'!$I$7*'סעיפי מחיר'!$G$7,0)</f>
        <v>0</v>
      </c>
      <c r="E48" s="20" t="n">
        <f aca="false">IF(A48&gt;=הנחות!$B$21,'סעיפי מחיר'!$I$9,0)*B48</f>
        <v>1200</v>
      </c>
      <c r="F48" s="20" t="n">
        <f aca="false">IF(A48&gt;36,'סעיפי מחיר'!$I$8/12,0)*B48</f>
        <v>1666.66666666667</v>
      </c>
      <c r="G48" s="20" t="n">
        <f aca="false">IF(A48&gt;=הנחות!$B$21,תוספות!$H$15,0)*B48</f>
        <v>512.5</v>
      </c>
      <c r="H48" s="20" t="n">
        <f aca="false">IF(A48=0,הנחות!$B$6,0)+IF(A48=1,הנחות!$B$4+הנחות!$B$5+'סעיפי מחיר'!$J$6*'סעיפי מחיר'!$G$6+'סעיפי מחיר'!$J$7*'סעיפי מחיר'!$G$7,0)</f>
        <v>0</v>
      </c>
      <c r="I48" s="20" t="n">
        <f aca="false">IF(A48&gt;=1,הנחות!$B$25,0)*B48</f>
        <v>3758.33333333333</v>
      </c>
      <c r="J48" s="20" t="n">
        <f aca="false">IF(A48&gt;=הנחות!$B$21,הנחות!$B$26,0)*B48</f>
        <v>1200</v>
      </c>
      <c r="K48" s="20" t="n">
        <f aca="false">C48+D48+E48+F48+G48-H48-I48-J48</f>
        <v>-1579.16666666667</v>
      </c>
      <c r="L48" s="20" t="n">
        <f aca="false">L47+K48</f>
        <v>-71379.1666666667</v>
      </c>
    </row>
    <row r="49" customFormat="false" ht="15" hidden="false" customHeight="false" outlineLevel="0" collapsed="false">
      <c r="A49" s="21" t="n">
        <v>41</v>
      </c>
      <c r="B49" s="21" t="n">
        <f aca="false">IF(A49&lt;=הנחות!$B$27,1,0)</f>
        <v>1</v>
      </c>
      <c r="C49" s="20" t="n">
        <f aca="false">IF(הנחות!$B$19=1,IF(A49=1,0.2*'סעיפי מחיר'!$I$5,0)+IF(A49=הנחות!$B$21,0.8*'סעיפי מחיר'!$I$5,0)*B49,IF(A49=1,0.2*'סעיפי מחיר'!$I$5,0)+IF(AND(A49&gt;=הנחות!$B$21,A49&lt;הנחות!$B$21+36),0.8*'סעיפי מחיר'!$I$5/36,0)*B49)</f>
        <v>0</v>
      </c>
      <c r="D49" s="20" t="n">
        <f aca="false">IF(A49=1,'סעיפי מחיר'!$I$6*'סעיפי מחיר'!$G$6+'סעיפי מחיר'!$I$7*'סעיפי מחיר'!$G$7,0)</f>
        <v>0</v>
      </c>
      <c r="E49" s="20" t="n">
        <f aca="false">IF(A49&gt;=הנחות!$B$21,'סעיפי מחיר'!$I$9,0)*B49</f>
        <v>1200</v>
      </c>
      <c r="F49" s="20" t="n">
        <f aca="false">IF(A49&gt;36,'סעיפי מחיר'!$I$8/12,0)*B49</f>
        <v>1666.66666666667</v>
      </c>
      <c r="G49" s="20" t="n">
        <f aca="false">IF(A49&gt;=הנחות!$B$21,תוספות!$H$15,0)*B49</f>
        <v>512.5</v>
      </c>
      <c r="H49" s="20" t="n">
        <f aca="false">IF(A49=0,הנחות!$B$6,0)+IF(A49=1,הנחות!$B$4+הנחות!$B$5+'סעיפי מחיר'!$J$6*'סעיפי מחיר'!$G$6+'סעיפי מחיר'!$J$7*'סעיפי מחיר'!$G$7,0)</f>
        <v>0</v>
      </c>
      <c r="I49" s="20" t="n">
        <f aca="false">IF(A49&gt;=1,הנחות!$B$25,0)*B49</f>
        <v>3758.33333333333</v>
      </c>
      <c r="J49" s="20" t="n">
        <f aca="false">IF(A49&gt;=הנחות!$B$21,הנחות!$B$26,0)*B49</f>
        <v>1200</v>
      </c>
      <c r="K49" s="20" t="n">
        <f aca="false">C49+D49+E49+F49+G49-H49-I49-J49</f>
        <v>-1579.16666666667</v>
      </c>
      <c r="L49" s="20" t="n">
        <f aca="false">L48+K49</f>
        <v>-72958.3333333334</v>
      </c>
    </row>
    <row r="50" customFormat="false" ht="15" hidden="false" customHeight="false" outlineLevel="0" collapsed="false">
      <c r="A50" s="21" t="n">
        <v>42</v>
      </c>
      <c r="B50" s="21" t="n">
        <f aca="false">IF(A50&lt;=הנחות!$B$27,1,0)</f>
        <v>1</v>
      </c>
      <c r="C50" s="20" t="n">
        <f aca="false">IF(הנחות!$B$19=1,IF(A50=1,0.2*'סעיפי מחיר'!$I$5,0)+IF(A50=הנחות!$B$21,0.8*'סעיפי מחיר'!$I$5,0)*B50,IF(A50=1,0.2*'סעיפי מחיר'!$I$5,0)+IF(AND(A50&gt;=הנחות!$B$21,A50&lt;הנחות!$B$21+36),0.8*'סעיפי מחיר'!$I$5/36,0)*B50)</f>
        <v>0</v>
      </c>
      <c r="D50" s="20" t="n">
        <f aca="false">IF(A50=1,'סעיפי מחיר'!$I$6*'סעיפי מחיר'!$G$6+'סעיפי מחיר'!$I$7*'סעיפי מחיר'!$G$7,0)</f>
        <v>0</v>
      </c>
      <c r="E50" s="20" t="n">
        <f aca="false">IF(A50&gt;=הנחות!$B$21,'סעיפי מחיר'!$I$9,0)*B50</f>
        <v>1200</v>
      </c>
      <c r="F50" s="20" t="n">
        <f aca="false">IF(A50&gt;36,'סעיפי מחיר'!$I$8/12,0)*B50</f>
        <v>1666.66666666667</v>
      </c>
      <c r="G50" s="20" t="n">
        <f aca="false">IF(A50&gt;=הנחות!$B$21,תוספות!$H$15,0)*B50</f>
        <v>512.5</v>
      </c>
      <c r="H50" s="20" t="n">
        <f aca="false">IF(A50=0,הנחות!$B$6,0)+IF(A50=1,הנחות!$B$4+הנחות!$B$5+'סעיפי מחיר'!$J$6*'סעיפי מחיר'!$G$6+'סעיפי מחיר'!$J$7*'סעיפי מחיר'!$G$7,0)</f>
        <v>0</v>
      </c>
      <c r="I50" s="20" t="n">
        <f aca="false">IF(A50&gt;=1,הנחות!$B$25,0)*B50</f>
        <v>3758.33333333333</v>
      </c>
      <c r="J50" s="20" t="n">
        <f aca="false">IF(A50&gt;=הנחות!$B$21,הנחות!$B$26,0)*B50</f>
        <v>1200</v>
      </c>
      <c r="K50" s="20" t="n">
        <f aca="false">C50+D50+E50+F50+G50-H50-I50-J50</f>
        <v>-1579.16666666667</v>
      </c>
      <c r="L50" s="20" t="n">
        <f aca="false">L49+K50</f>
        <v>-74537.5</v>
      </c>
    </row>
    <row r="51" customFormat="false" ht="15" hidden="false" customHeight="false" outlineLevel="0" collapsed="false">
      <c r="A51" s="21" t="n">
        <v>43</v>
      </c>
      <c r="B51" s="21" t="n">
        <f aca="false">IF(A51&lt;=הנחות!$B$27,1,0)</f>
        <v>1</v>
      </c>
      <c r="C51" s="20" t="n">
        <f aca="false">IF(הנחות!$B$19=1,IF(A51=1,0.2*'סעיפי מחיר'!$I$5,0)+IF(A51=הנחות!$B$21,0.8*'סעיפי מחיר'!$I$5,0)*B51,IF(A51=1,0.2*'סעיפי מחיר'!$I$5,0)+IF(AND(A51&gt;=הנחות!$B$21,A51&lt;הנחות!$B$21+36),0.8*'סעיפי מחיר'!$I$5/36,0)*B51)</f>
        <v>0</v>
      </c>
      <c r="D51" s="20" t="n">
        <f aca="false">IF(A51=1,'סעיפי מחיר'!$I$6*'סעיפי מחיר'!$G$6+'סעיפי מחיר'!$I$7*'סעיפי מחיר'!$G$7,0)</f>
        <v>0</v>
      </c>
      <c r="E51" s="20" t="n">
        <f aca="false">IF(A51&gt;=הנחות!$B$21,'סעיפי מחיר'!$I$9,0)*B51</f>
        <v>1200</v>
      </c>
      <c r="F51" s="20" t="n">
        <f aca="false">IF(A51&gt;36,'סעיפי מחיר'!$I$8/12,0)*B51</f>
        <v>1666.66666666667</v>
      </c>
      <c r="G51" s="20" t="n">
        <f aca="false">IF(A51&gt;=הנחות!$B$21,תוספות!$H$15,0)*B51</f>
        <v>512.5</v>
      </c>
      <c r="H51" s="20" t="n">
        <f aca="false">IF(A51=0,הנחות!$B$6,0)+IF(A51=1,הנחות!$B$4+הנחות!$B$5+'סעיפי מחיר'!$J$6*'סעיפי מחיר'!$G$6+'סעיפי מחיר'!$J$7*'סעיפי מחיר'!$G$7,0)</f>
        <v>0</v>
      </c>
      <c r="I51" s="20" t="n">
        <f aca="false">IF(A51&gt;=1,הנחות!$B$25,0)*B51</f>
        <v>3758.33333333333</v>
      </c>
      <c r="J51" s="20" t="n">
        <f aca="false">IF(A51&gt;=הנחות!$B$21,הנחות!$B$26,0)*B51</f>
        <v>1200</v>
      </c>
      <c r="K51" s="20" t="n">
        <f aca="false">C51+D51+E51+F51+G51-H51-I51-J51</f>
        <v>-1579.16666666667</v>
      </c>
      <c r="L51" s="20" t="n">
        <f aca="false">L50+K51</f>
        <v>-76116.6666666667</v>
      </c>
    </row>
    <row r="52" customFormat="false" ht="15" hidden="false" customHeight="false" outlineLevel="0" collapsed="false">
      <c r="A52" s="21" t="n">
        <v>44</v>
      </c>
      <c r="B52" s="21" t="n">
        <f aca="false">IF(A52&lt;=הנחות!$B$27,1,0)</f>
        <v>1</v>
      </c>
      <c r="C52" s="20" t="n">
        <f aca="false">IF(הנחות!$B$19=1,IF(A52=1,0.2*'סעיפי מחיר'!$I$5,0)+IF(A52=הנחות!$B$21,0.8*'סעיפי מחיר'!$I$5,0)*B52,IF(A52=1,0.2*'סעיפי מחיר'!$I$5,0)+IF(AND(A52&gt;=הנחות!$B$21,A52&lt;הנחות!$B$21+36),0.8*'סעיפי מחיר'!$I$5/36,0)*B52)</f>
        <v>0</v>
      </c>
      <c r="D52" s="20" t="n">
        <f aca="false">IF(A52=1,'סעיפי מחיר'!$I$6*'סעיפי מחיר'!$G$6+'סעיפי מחיר'!$I$7*'סעיפי מחיר'!$G$7,0)</f>
        <v>0</v>
      </c>
      <c r="E52" s="20" t="n">
        <f aca="false">IF(A52&gt;=הנחות!$B$21,'סעיפי מחיר'!$I$9,0)*B52</f>
        <v>1200</v>
      </c>
      <c r="F52" s="20" t="n">
        <f aca="false">IF(A52&gt;36,'סעיפי מחיר'!$I$8/12,0)*B52</f>
        <v>1666.66666666667</v>
      </c>
      <c r="G52" s="20" t="n">
        <f aca="false">IF(A52&gt;=הנחות!$B$21,תוספות!$H$15,0)*B52</f>
        <v>512.5</v>
      </c>
      <c r="H52" s="20" t="n">
        <f aca="false">IF(A52=0,הנחות!$B$6,0)+IF(A52=1,הנחות!$B$4+הנחות!$B$5+'סעיפי מחיר'!$J$6*'סעיפי מחיר'!$G$6+'סעיפי מחיר'!$J$7*'סעיפי מחיר'!$G$7,0)</f>
        <v>0</v>
      </c>
      <c r="I52" s="20" t="n">
        <f aca="false">IF(A52&gt;=1,הנחות!$B$25,0)*B52</f>
        <v>3758.33333333333</v>
      </c>
      <c r="J52" s="20" t="n">
        <f aca="false">IF(A52&gt;=הנחות!$B$21,הנחות!$B$26,0)*B52</f>
        <v>1200</v>
      </c>
      <c r="K52" s="20" t="n">
        <f aca="false">C52+D52+E52+F52+G52-H52-I52-J52</f>
        <v>-1579.16666666667</v>
      </c>
      <c r="L52" s="20" t="n">
        <f aca="false">L51+K52</f>
        <v>-77695.8333333334</v>
      </c>
    </row>
    <row r="53" customFormat="false" ht="15" hidden="false" customHeight="false" outlineLevel="0" collapsed="false">
      <c r="A53" s="21" t="n">
        <v>45</v>
      </c>
      <c r="B53" s="21" t="n">
        <f aca="false">IF(A53&lt;=הנחות!$B$27,1,0)</f>
        <v>1</v>
      </c>
      <c r="C53" s="20" t="n">
        <f aca="false">IF(הנחות!$B$19=1,IF(A53=1,0.2*'סעיפי מחיר'!$I$5,0)+IF(A53=הנחות!$B$21,0.8*'סעיפי מחיר'!$I$5,0)*B53,IF(A53=1,0.2*'סעיפי מחיר'!$I$5,0)+IF(AND(A53&gt;=הנחות!$B$21,A53&lt;הנחות!$B$21+36),0.8*'סעיפי מחיר'!$I$5/36,0)*B53)</f>
        <v>0</v>
      </c>
      <c r="D53" s="20" t="n">
        <f aca="false">IF(A53=1,'סעיפי מחיר'!$I$6*'סעיפי מחיר'!$G$6+'סעיפי מחיר'!$I$7*'סעיפי מחיר'!$G$7,0)</f>
        <v>0</v>
      </c>
      <c r="E53" s="20" t="n">
        <f aca="false">IF(A53&gt;=הנחות!$B$21,'סעיפי מחיר'!$I$9,0)*B53</f>
        <v>1200</v>
      </c>
      <c r="F53" s="20" t="n">
        <f aca="false">IF(A53&gt;36,'סעיפי מחיר'!$I$8/12,0)*B53</f>
        <v>1666.66666666667</v>
      </c>
      <c r="G53" s="20" t="n">
        <f aca="false">IF(A53&gt;=הנחות!$B$21,תוספות!$H$15,0)*B53</f>
        <v>512.5</v>
      </c>
      <c r="H53" s="20" t="n">
        <f aca="false">IF(A53=0,הנחות!$B$6,0)+IF(A53=1,הנחות!$B$4+הנחות!$B$5+'סעיפי מחיר'!$J$6*'סעיפי מחיר'!$G$6+'סעיפי מחיר'!$J$7*'סעיפי מחיר'!$G$7,0)</f>
        <v>0</v>
      </c>
      <c r="I53" s="20" t="n">
        <f aca="false">IF(A53&gt;=1,הנחות!$B$25,0)*B53</f>
        <v>3758.33333333333</v>
      </c>
      <c r="J53" s="20" t="n">
        <f aca="false">IF(A53&gt;=הנחות!$B$21,הנחות!$B$26,0)*B53</f>
        <v>1200</v>
      </c>
      <c r="K53" s="20" t="n">
        <f aca="false">C53+D53+E53+F53+G53-H53-I53-J53</f>
        <v>-1579.16666666667</v>
      </c>
      <c r="L53" s="20" t="n">
        <f aca="false">L52+K53</f>
        <v>-79275.0000000001</v>
      </c>
    </row>
    <row r="54" customFormat="false" ht="15" hidden="false" customHeight="false" outlineLevel="0" collapsed="false">
      <c r="A54" s="21" t="n">
        <v>46</v>
      </c>
      <c r="B54" s="21" t="n">
        <f aca="false">IF(A54&lt;=הנחות!$B$27,1,0)</f>
        <v>1</v>
      </c>
      <c r="C54" s="20" t="n">
        <f aca="false">IF(הנחות!$B$19=1,IF(A54=1,0.2*'סעיפי מחיר'!$I$5,0)+IF(A54=הנחות!$B$21,0.8*'סעיפי מחיר'!$I$5,0)*B54,IF(A54=1,0.2*'סעיפי מחיר'!$I$5,0)+IF(AND(A54&gt;=הנחות!$B$21,A54&lt;הנחות!$B$21+36),0.8*'סעיפי מחיר'!$I$5/36,0)*B54)</f>
        <v>0</v>
      </c>
      <c r="D54" s="20" t="n">
        <f aca="false">IF(A54=1,'סעיפי מחיר'!$I$6*'סעיפי מחיר'!$G$6+'סעיפי מחיר'!$I$7*'סעיפי מחיר'!$G$7,0)</f>
        <v>0</v>
      </c>
      <c r="E54" s="20" t="n">
        <f aca="false">IF(A54&gt;=הנחות!$B$21,'סעיפי מחיר'!$I$9,0)*B54</f>
        <v>1200</v>
      </c>
      <c r="F54" s="20" t="n">
        <f aca="false">IF(A54&gt;36,'סעיפי מחיר'!$I$8/12,0)*B54</f>
        <v>1666.66666666667</v>
      </c>
      <c r="G54" s="20" t="n">
        <f aca="false">IF(A54&gt;=הנחות!$B$21,תוספות!$H$15,0)*B54</f>
        <v>512.5</v>
      </c>
      <c r="H54" s="20" t="n">
        <f aca="false">IF(A54=0,הנחות!$B$6,0)+IF(A54=1,הנחות!$B$4+הנחות!$B$5+'סעיפי מחיר'!$J$6*'סעיפי מחיר'!$G$6+'סעיפי מחיר'!$J$7*'סעיפי מחיר'!$G$7,0)</f>
        <v>0</v>
      </c>
      <c r="I54" s="20" t="n">
        <f aca="false">IF(A54&gt;=1,הנחות!$B$25,0)*B54</f>
        <v>3758.33333333333</v>
      </c>
      <c r="J54" s="20" t="n">
        <f aca="false">IF(A54&gt;=הנחות!$B$21,הנחות!$B$26,0)*B54</f>
        <v>1200</v>
      </c>
      <c r="K54" s="20" t="n">
        <f aca="false">C54+D54+E54+F54+G54-H54-I54-J54</f>
        <v>-1579.16666666667</v>
      </c>
      <c r="L54" s="20" t="n">
        <f aca="false">L53+K54</f>
        <v>-80854.1666666667</v>
      </c>
    </row>
    <row r="55" customFormat="false" ht="15" hidden="false" customHeight="false" outlineLevel="0" collapsed="false">
      <c r="A55" s="21" t="n">
        <v>47</v>
      </c>
      <c r="B55" s="21" t="n">
        <f aca="false">IF(A55&lt;=הנחות!$B$27,1,0)</f>
        <v>1</v>
      </c>
      <c r="C55" s="20" t="n">
        <f aca="false">IF(הנחות!$B$19=1,IF(A55=1,0.2*'סעיפי מחיר'!$I$5,0)+IF(A55=הנחות!$B$21,0.8*'סעיפי מחיר'!$I$5,0)*B55,IF(A55=1,0.2*'סעיפי מחיר'!$I$5,0)+IF(AND(A55&gt;=הנחות!$B$21,A55&lt;הנחות!$B$21+36),0.8*'סעיפי מחיר'!$I$5/36,0)*B55)</f>
        <v>0</v>
      </c>
      <c r="D55" s="20" t="n">
        <f aca="false">IF(A55=1,'סעיפי מחיר'!$I$6*'סעיפי מחיר'!$G$6+'סעיפי מחיר'!$I$7*'סעיפי מחיר'!$G$7,0)</f>
        <v>0</v>
      </c>
      <c r="E55" s="20" t="n">
        <f aca="false">IF(A55&gt;=הנחות!$B$21,'סעיפי מחיר'!$I$9,0)*B55</f>
        <v>1200</v>
      </c>
      <c r="F55" s="20" t="n">
        <f aca="false">IF(A55&gt;36,'סעיפי מחיר'!$I$8/12,0)*B55</f>
        <v>1666.66666666667</v>
      </c>
      <c r="G55" s="20" t="n">
        <f aca="false">IF(A55&gt;=הנחות!$B$21,תוספות!$H$15,0)*B55</f>
        <v>512.5</v>
      </c>
      <c r="H55" s="20" t="n">
        <f aca="false">IF(A55=0,הנחות!$B$6,0)+IF(A55=1,הנחות!$B$4+הנחות!$B$5+'סעיפי מחיר'!$J$6*'סעיפי מחיר'!$G$6+'סעיפי מחיר'!$J$7*'סעיפי מחיר'!$G$7,0)</f>
        <v>0</v>
      </c>
      <c r="I55" s="20" t="n">
        <f aca="false">IF(A55&gt;=1,הנחות!$B$25,0)*B55</f>
        <v>3758.33333333333</v>
      </c>
      <c r="J55" s="20" t="n">
        <f aca="false">IF(A55&gt;=הנחות!$B$21,הנחות!$B$26,0)*B55</f>
        <v>1200</v>
      </c>
      <c r="K55" s="20" t="n">
        <f aca="false">C55+D55+E55+F55+G55-H55-I55-J55</f>
        <v>-1579.16666666667</v>
      </c>
      <c r="L55" s="20" t="n">
        <f aca="false">L54+K55</f>
        <v>-82433.3333333334</v>
      </c>
    </row>
    <row r="56" customFormat="false" ht="15" hidden="false" customHeight="false" outlineLevel="0" collapsed="false">
      <c r="A56" s="21" t="n">
        <v>48</v>
      </c>
      <c r="B56" s="21" t="n">
        <f aca="false">IF(A56&lt;=הנחות!$B$27,1,0)</f>
        <v>1</v>
      </c>
      <c r="C56" s="20" t="n">
        <f aca="false">IF(הנחות!$B$19=1,IF(A56=1,0.2*'סעיפי מחיר'!$I$5,0)+IF(A56=הנחות!$B$21,0.8*'סעיפי מחיר'!$I$5,0)*B56,IF(A56=1,0.2*'סעיפי מחיר'!$I$5,0)+IF(AND(A56&gt;=הנחות!$B$21,A56&lt;הנחות!$B$21+36),0.8*'סעיפי מחיר'!$I$5/36,0)*B56)</f>
        <v>0</v>
      </c>
      <c r="D56" s="20" t="n">
        <f aca="false">IF(A56=1,'סעיפי מחיר'!$I$6*'סעיפי מחיר'!$G$6+'סעיפי מחיר'!$I$7*'סעיפי מחיר'!$G$7,0)</f>
        <v>0</v>
      </c>
      <c r="E56" s="20" t="n">
        <f aca="false">IF(A56&gt;=הנחות!$B$21,'סעיפי מחיר'!$I$9,0)*B56</f>
        <v>1200</v>
      </c>
      <c r="F56" s="20" t="n">
        <f aca="false">IF(A56&gt;36,'סעיפי מחיר'!$I$8/12,0)*B56</f>
        <v>1666.66666666667</v>
      </c>
      <c r="G56" s="20" t="n">
        <f aca="false">IF(A56&gt;=הנחות!$B$21,תוספות!$H$15,0)*B56</f>
        <v>512.5</v>
      </c>
      <c r="H56" s="20" t="n">
        <f aca="false">IF(A56=0,הנחות!$B$6,0)+IF(A56=1,הנחות!$B$4+הנחות!$B$5+'סעיפי מחיר'!$J$6*'סעיפי מחיר'!$G$6+'סעיפי מחיר'!$J$7*'סעיפי מחיר'!$G$7,0)</f>
        <v>0</v>
      </c>
      <c r="I56" s="20" t="n">
        <f aca="false">IF(A56&gt;=1,הנחות!$B$25,0)*B56</f>
        <v>3758.33333333333</v>
      </c>
      <c r="J56" s="20" t="n">
        <f aca="false">IF(A56&gt;=הנחות!$B$21,הנחות!$B$26,0)*B56</f>
        <v>1200</v>
      </c>
      <c r="K56" s="20" t="n">
        <f aca="false">C56+D56+E56+F56+G56-H56-I56-J56</f>
        <v>-1579.16666666667</v>
      </c>
      <c r="L56" s="20" t="n">
        <f aca="false">L55+K56</f>
        <v>-84012.5000000001</v>
      </c>
    </row>
    <row r="57" customFormat="false" ht="15" hidden="false" customHeight="false" outlineLevel="0" collapsed="false">
      <c r="A57" s="21" t="n">
        <v>49</v>
      </c>
      <c r="B57" s="21" t="n">
        <f aca="false">IF(A57&lt;=הנחות!$B$27,1,0)</f>
        <v>1</v>
      </c>
      <c r="C57" s="20" t="n">
        <f aca="false">IF(הנחות!$B$19=1,IF(A57=1,0.2*'סעיפי מחיר'!$I$5,0)+IF(A57=הנחות!$B$21,0.8*'סעיפי מחיר'!$I$5,0)*B57,IF(A57=1,0.2*'סעיפי מחיר'!$I$5,0)+IF(AND(A57&gt;=הנחות!$B$21,A57&lt;הנחות!$B$21+36),0.8*'סעיפי מחיר'!$I$5/36,0)*B57)</f>
        <v>0</v>
      </c>
      <c r="D57" s="20" t="n">
        <f aca="false">IF(A57=1,'סעיפי מחיר'!$I$6*'סעיפי מחיר'!$G$6+'סעיפי מחיר'!$I$7*'סעיפי מחיר'!$G$7,0)</f>
        <v>0</v>
      </c>
      <c r="E57" s="20" t="n">
        <f aca="false">IF(A57&gt;=הנחות!$B$21,'סעיפי מחיר'!$I$9,0)*B57</f>
        <v>1200</v>
      </c>
      <c r="F57" s="20" t="n">
        <f aca="false">IF(A57&gt;36,'סעיפי מחיר'!$I$8/12,0)*B57</f>
        <v>1666.66666666667</v>
      </c>
      <c r="G57" s="20" t="n">
        <f aca="false">IF(A57&gt;=הנחות!$B$21,תוספות!$H$15,0)*B57</f>
        <v>512.5</v>
      </c>
      <c r="H57" s="20" t="n">
        <f aca="false">IF(A57=0,הנחות!$B$6,0)+IF(A57=1,הנחות!$B$4+הנחות!$B$5+'סעיפי מחיר'!$J$6*'סעיפי מחיר'!$G$6+'סעיפי מחיר'!$J$7*'סעיפי מחיר'!$G$7,0)</f>
        <v>0</v>
      </c>
      <c r="I57" s="20" t="n">
        <f aca="false">IF(A57&gt;=1,הנחות!$B$25,0)*B57</f>
        <v>3758.33333333333</v>
      </c>
      <c r="J57" s="20" t="n">
        <f aca="false">IF(A57&gt;=הנחות!$B$21,הנחות!$B$26,0)*B57</f>
        <v>1200</v>
      </c>
      <c r="K57" s="20" t="n">
        <f aca="false">C57+D57+E57+F57+G57-H57-I57-J57</f>
        <v>-1579.16666666667</v>
      </c>
      <c r="L57" s="20" t="n">
        <f aca="false">L56+K57</f>
        <v>-85591.6666666667</v>
      </c>
    </row>
    <row r="58" customFormat="false" ht="15" hidden="false" customHeight="false" outlineLevel="0" collapsed="false">
      <c r="A58" s="21" t="n">
        <v>50</v>
      </c>
      <c r="B58" s="21" t="n">
        <f aca="false">IF(A58&lt;=הנחות!$B$27,1,0)</f>
        <v>1</v>
      </c>
      <c r="C58" s="20" t="n">
        <f aca="false">IF(הנחות!$B$19=1,IF(A58=1,0.2*'סעיפי מחיר'!$I$5,0)+IF(A58=הנחות!$B$21,0.8*'סעיפי מחיר'!$I$5,0)*B58,IF(A58=1,0.2*'סעיפי מחיר'!$I$5,0)+IF(AND(A58&gt;=הנחות!$B$21,A58&lt;הנחות!$B$21+36),0.8*'סעיפי מחיר'!$I$5/36,0)*B58)</f>
        <v>0</v>
      </c>
      <c r="D58" s="20" t="n">
        <f aca="false">IF(A58=1,'סעיפי מחיר'!$I$6*'סעיפי מחיר'!$G$6+'סעיפי מחיר'!$I$7*'סעיפי מחיר'!$G$7,0)</f>
        <v>0</v>
      </c>
      <c r="E58" s="20" t="n">
        <f aca="false">IF(A58&gt;=הנחות!$B$21,'סעיפי מחיר'!$I$9,0)*B58</f>
        <v>1200</v>
      </c>
      <c r="F58" s="20" t="n">
        <f aca="false">IF(A58&gt;36,'סעיפי מחיר'!$I$8/12,0)*B58</f>
        <v>1666.66666666667</v>
      </c>
      <c r="G58" s="20" t="n">
        <f aca="false">IF(A58&gt;=הנחות!$B$21,תוספות!$H$15,0)*B58</f>
        <v>512.5</v>
      </c>
      <c r="H58" s="20" t="n">
        <f aca="false">IF(A58=0,הנחות!$B$6,0)+IF(A58=1,הנחות!$B$4+הנחות!$B$5+'סעיפי מחיר'!$J$6*'סעיפי מחיר'!$G$6+'סעיפי מחיר'!$J$7*'סעיפי מחיר'!$G$7,0)</f>
        <v>0</v>
      </c>
      <c r="I58" s="20" t="n">
        <f aca="false">IF(A58&gt;=1,הנחות!$B$25,0)*B58</f>
        <v>3758.33333333333</v>
      </c>
      <c r="J58" s="20" t="n">
        <f aca="false">IF(A58&gt;=הנחות!$B$21,הנחות!$B$26,0)*B58</f>
        <v>1200</v>
      </c>
      <c r="K58" s="20" t="n">
        <f aca="false">C58+D58+E58+F58+G58-H58-I58-J58</f>
        <v>-1579.16666666667</v>
      </c>
      <c r="L58" s="20" t="n">
        <f aca="false">L57+K58</f>
        <v>-87170.8333333334</v>
      </c>
    </row>
    <row r="59" customFormat="false" ht="15" hidden="false" customHeight="false" outlineLevel="0" collapsed="false">
      <c r="A59" s="21" t="n">
        <v>51</v>
      </c>
      <c r="B59" s="21" t="n">
        <f aca="false">IF(A59&lt;=הנחות!$B$27,1,0)</f>
        <v>1</v>
      </c>
      <c r="C59" s="20" t="n">
        <f aca="false">IF(הנחות!$B$19=1,IF(A59=1,0.2*'סעיפי מחיר'!$I$5,0)+IF(A59=הנחות!$B$21,0.8*'סעיפי מחיר'!$I$5,0)*B59,IF(A59=1,0.2*'סעיפי מחיר'!$I$5,0)+IF(AND(A59&gt;=הנחות!$B$21,A59&lt;הנחות!$B$21+36),0.8*'סעיפי מחיר'!$I$5/36,0)*B59)</f>
        <v>0</v>
      </c>
      <c r="D59" s="20" t="n">
        <f aca="false">IF(A59=1,'סעיפי מחיר'!$I$6*'סעיפי מחיר'!$G$6+'סעיפי מחיר'!$I$7*'סעיפי מחיר'!$G$7,0)</f>
        <v>0</v>
      </c>
      <c r="E59" s="20" t="n">
        <f aca="false">IF(A59&gt;=הנחות!$B$21,'סעיפי מחיר'!$I$9,0)*B59</f>
        <v>1200</v>
      </c>
      <c r="F59" s="20" t="n">
        <f aca="false">IF(A59&gt;36,'סעיפי מחיר'!$I$8/12,0)*B59</f>
        <v>1666.66666666667</v>
      </c>
      <c r="G59" s="20" t="n">
        <f aca="false">IF(A59&gt;=הנחות!$B$21,תוספות!$H$15,0)*B59</f>
        <v>512.5</v>
      </c>
      <c r="H59" s="20" t="n">
        <f aca="false">IF(A59=0,הנחות!$B$6,0)+IF(A59=1,הנחות!$B$4+הנחות!$B$5+'סעיפי מחיר'!$J$6*'סעיפי מחיר'!$G$6+'סעיפי מחיר'!$J$7*'סעיפי מחיר'!$G$7,0)</f>
        <v>0</v>
      </c>
      <c r="I59" s="20" t="n">
        <f aca="false">IF(A59&gt;=1,הנחות!$B$25,0)*B59</f>
        <v>3758.33333333333</v>
      </c>
      <c r="J59" s="20" t="n">
        <f aca="false">IF(A59&gt;=הנחות!$B$21,הנחות!$B$26,0)*B59</f>
        <v>1200</v>
      </c>
      <c r="K59" s="20" t="n">
        <f aca="false">C59+D59+E59+F59+G59-H59-I59-J59</f>
        <v>-1579.16666666667</v>
      </c>
      <c r="L59" s="20" t="n">
        <f aca="false">L58+K59</f>
        <v>-88750.0000000001</v>
      </c>
    </row>
    <row r="60" customFormat="false" ht="15" hidden="false" customHeight="false" outlineLevel="0" collapsed="false">
      <c r="A60" s="21" t="n">
        <v>52</v>
      </c>
      <c r="B60" s="21" t="n">
        <f aca="false">IF(A60&lt;=הנחות!$B$27,1,0)</f>
        <v>1</v>
      </c>
      <c r="C60" s="20" t="n">
        <f aca="false">IF(הנחות!$B$19=1,IF(A60=1,0.2*'סעיפי מחיר'!$I$5,0)+IF(A60=הנחות!$B$21,0.8*'סעיפי מחיר'!$I$5,0)*B60,IF(A60=1,0.2*'סעיפי מחיר'!$I$5,0)+IF(AND(A60&gt;=הנחות!$B$21,A60&lt;הנחות!$B$21+36),0.8*'סעיפי מחיר'!$I$5/36,0)*B60)</f>
        <v>0</v>
      </c>
      <c r="D60" s="20" t="n">
        <f aca="false">IF(A60=1,'סעיפי מחיר'!$I$6*'סעיפי מחיר'!$G$6+'סעיפי מחיר'!$I$7*'סעיפי מחיר'!$G$7,0)</f>
        <v>0</v>
      </c>
      <c r="E60" s="20" t="n">
        <f aca="false">IF(A60&gt;=הנחות!$B$21,'סעיפי מחיר'!$I$9,0)*B60</f>
        <v>1200</v>
      </c>
      <c r="F60" s="20" t="n">
        <f aca="false">IF(A60&gt;36,'סעיפי מחיר'!$I$8/12,0)*B60</f>
        <v>1666.66666666667</v>
      </c>
      <c r="G60" s="20" t="n">
        <f aca="false">IF(A60&gt;=הנחות!$B$21,תוספות!$H$15,0)*B60</f>
        <v>512.5</v>
      </c>
      <c r="H60" s="20" t="n">
        <f aca="false">IF(A60=0,הנחות!$B$6,0)+IF(A60=1,הנחות!$B$4+הנחות!$B$5+'סעיפי מחיר'!$J$6*'סעיפי מחיר'!$G$6+'סעיפי מחיר'!$J$7*'סעיפי מחיר'!$G$7,0)</f>
        <v>0</v>
      </c>
      <c r="I60" s="20" t="n">
        <f aca="false">IF(A60&gt;=1,הנחות!$B$25,0)*B60</f>
        <v>3758.33333333333</v>
      </c>
      <c r="J60" s="20" t="n">
        <f aca="false">IF(A60&gt;=הנחות!$B$21,הנחות!$B$26,0)*B60</f>
        <v>1200</v>
      </c>
      <c r="K60" s="20" t="n">
        <f aca="false">C60+D60+E60+F60+G60-H60-I60-J60</f>
        <v>-1579.16666666667</v>
      </c>
      <c r="L60" s="20" t="n">
        <f aca="false">L59+K60</f>
        <v>-90329.1666666668</v>
      </c>
    </row>
    <row r="61" customFormat="false" ht="15" hidden="false" customHeight="false" outlineLevel="0" collapsed="false">
      <c r="A61" s="21" t="n">
        <v>53</v>
      </c>
      <c r="B61" s="21" t="n">
        <f aca="false">IF(A61&lt;=הנחות!$B$27,1,0)</f>
        <v>1</v>
      </c>
      <c r="C61" s="20" t="n">
        <f aca="false">IF(הנחות!$B$19=1,IF(A61=1,0.2*'סעיפי מחיר'!$I$5,0)+IF(A61=הנחות!$B$21,0.8*'סעיפי מחיר'!$I$5,0)*B61,IF(A61=1,0.2*'סעיפי מחיר'!$I$5,0)+IF(AND(A61&gt;=הנחות!$B$21,A61&lt;הנחות!$B$21+36),0.8*'סעיפי מחיר'!$I$5/36,0)*B61)</f>
        <v>0</v>
      </c>
      <c r="D61" s="20" t="n">
        <f aca="false">IF(A61=1,'סעיפי מחיר'!$I$6*'סעיפי מחיר'!$G$6+'סעיפי מחיר'!$I$7*'סעיפי מחיר'!$G$7,0)</f>
        <v>0</v>
      </c>
      <c r="E61" s="20" t="n">
        <f aca="false">IF(A61&gt;=הנחות!$B$21,'סעיפי מחיר'!$I$9,0)*B61</f>
        <v>1200</v>
      </c>
      <c r="F61" s="20" t="n">
        <f aca="false">IF(A61&gt;36,'סעיפי מחיר'!$I$8/12,0)*B61</f>
        <v>1666.66666666667</v>
      </c>
      <c r="G61" s="20" t="n">
        <f aca="false">IF(A61&gt;=הנחות!$B$21,תוספות!$H$15,0)*B61</f>
        <v>512.5</v>
      </c>
      <c r="H61" s="20" t="n">
        <f aca="false">IF(A61=0,הנחות!$B$6,0)+IF(A61=1,הנחות!$B$4+הנחות!$B$5+'סעיפי מחיר'!$J$6*'סעיפי מחיר'!$G$6+'סעיפי מחיר'!$J$7*'סעיפי מחיר'!$G$7,0)</f>
        <v>0</v>
      </c>
      <c r="I61" s="20" t="n">
        <f aca="false">IF(A61&gt;=1,הנחות!$B$25,0)*B61</f>
        <v>3758.33333333333</v>
      </c>
      <c r="J61" s="20" t="n">
        <f aca="false">IF(A61&gt;=הנחות!$B$21,הנחות!$B$26,0)*B61</f>
        <v>1200</v>
      </c>
      <c r="K61" s="20" t="n">
        <f aca="false">C61+D61+E61+F61+G61-H61-I61-J61</f>
        <v>-1579.16666666667</v>
      </c>
      <c r="L61" s="20" t="n">
        <f aca="false">L60+K61</f>
        <v>-91908.3333333334</v>
      </c>
    </row>
    <row r="62" customFormat="false" ht="15" hidden="false" customHeight="false" outlineLevel="0" collapsed="false">
      <c r="A62" s="21" t="n">
        <v>54</v>
      </c>
      <c r="B62" s="21" t="n">
        <f aca="false">IF(A62&lt;=הנחות!$B$27,1,0)</f>
        <v>1</v>
      </c>
      <c r="C62" s="20" t="n">
        <f aca="false">IF(הנחות!$B$19=1,IF(A62=1,0.2*'סעיפי מחיר'!$I$5,0)+IF(A62=הנחות!$B$21,0.8*'סעיפי מחיר'!$I$5,0)*B62,IF(A62=1,0.2*'סעיפי מחיר'!$I$5,0)+IF(AND(A62&gt;=הנחות!$B$21,A62&lt;הנחות!$B$21+36),0.8*'סעיפי מחיר'!$I$5/36,0)*B62)</f>
        <v>0</v>
      </c>
      <c r="D62" s="20" t="n">
        <f aca="false">IF(A62=1,'סעיפי מחיר'!$I$6*'סעיפי מחיר'!$G$6+'סעיפי מחיר'!$I$7*'סעיפי מחיר'!$G$7,0)</f>
        <v>0</v>
      </c>
      <c r="E62" s="20" t="n">
        <f aca="false">IF(A62&gt;=הנחות!$B$21,'סעיפי מחיר'!$I$9,0)*B62</f>
        <v>1200</v>
      </c>
      <c r="F62" s="20" t="n">
        <f aca="false">IF(A62&gt;36,'סעיפי מחיר'!$I$8/12,0)*B62</f>
        <v>1666.66666666667</v>
      </c>
      <c r="G62" s="20" t="n">
        <f aca="false">IF(A62&gt;=הנחות!$B$21,תוספות!$H$15,0)*B62</f>
        <v>512.5</v>
      </c>
      <c r="H62" s="20" t="n">
        <f aca="false">IF(A62=0,הנחות!$B$6,0)+IF(A62=1,הנחות!$B$4+הנחות!$B$5+'סעיפי מחיר'!$J$6*'סעיפי מחיר'!$G$6+'סעיפי מחיר'!$J$7*'סעיפי מחיר'!$G$7,0)</f>
        <v>0</v>
      </c>
      <c r="I62" s="20" t="n">
        <f aca="false">IF(A62&gt;=1,הנחות!$B$25,0)*B62</f>
        <v>3758.33333333333</v>
      </c>
      <c r="J62" s="20" t="n">
        <f aca="false">IF(A62&gt;=הנחות!$B$21,הנחות!$B$26,0)*B62</f>
        <v>1200</v>
      </c>
      <c r="K62" s="20" t="n">
        <f aca="false">C62+D62+E62+F62+G62-H62-I62-J62</f>
        <v>-1579.16666666667</v>
      </c>
      <c r="L62" s="20" t="n">
        <f aca="false">L61+K62</f>
        <v>-93487.5000000001</v>
      </c>
    </row>
    <row r="63" customFormat="false" ht="15" hidden="false" customHeight="false" outlineLevel="0" collapsed="false">
      <c r="A63" s="21" t="n">
        <v>55</v>
      </c>
      <c r="B63" s="21" t="n">
        <f aca="false">IF(A63&lt;=הנחות!$B$27,1,0)</f>
        <v>1</v>
      </c>
      <c r="C63" s="20" t="n">
        <f aca="false">IF(הנחות!$B$19=1,IF(A63=1,0.2*'סעיפי מחיר'!$I$5,0)+IF(A63=הנחות!$B$21,0.8*'סעיפי מחיר'!$I$5,0)*B63,IF(A63=1,0.2*'סעיפי מחיר'!$I$5,0)+IF(AND(A63&gt;=הנחות!$B$21,A63&lt;הנחות!$B$21+36),0.8*'סעיפי מחיר'!$I$5/36,0)*B63)</f>
        <v>0</v>
      </c>
      <c r="D63" s="20" t="n">
        <f aca="false">IF(A63=1,'סעיפי מחיר'!$I$6*'סעיפי מחיר'!$G$6+'סעיפי מחיר'!$I$7*'סעיפי מחיר'!$G$7,0)</f>
        <v>0</v>
      </c>
      <c r="E63" s="20" t="n">
        <f aca="false">IF(A63&gt;=הנחות!$B$21,'סעיפי מחיר'!$I$9,0)*B63</f>
        <v>1200</v>
      </c>
      <c r="F63" s="20" t="n">
        <f aca="false">IF(A63&gt;36,'סעיפי מחיר'!$I$8/12,0)*B63</f>
        <v>1666.66666666667</v>
      </c>
      <c r="G63" s="20" t="n">
        <f aca="false">IF(A63&gt;=הנחות!$B$21,תוספות!$H$15,0)*B63</f>
        <v>512.5</v>
      </c>
      <c r="H63" s="20" t="n">
        <f aca="false">IF(A63=0,הנחות!$B$6,0)+IF(A63=1,הנחות!$B$4+הנחות!$B$5+'סעיפי מחיר'!$J$6*'סעיפי מחיר'!$G$6+'סעיפי מחיר'!$J$7*'סעיפי מחיר'!$G$7,0)</f>
        <v>0</v>
      </c>
      <c r="I63" s="20" t="n">
        <f aca="false">IF(A63&gt;=1,הנחות!$B$25,0)*B63</f>
        <v>3758.33333333333</v>
      </c>
      <c r="J63" s="20" t="n">
        <f aca="false">IF(A63&gt;=הנחות!$B$21,הנחות!$B$26,0)*B63</f>
        <v>1200</v>
      </c>
      <c r="K63" s="20" t="n">
        <f aca="false">C63+D63+E63+F63+G63-H63-I63-J63</f>
        <v>-1579.16666666667</v>
      </c>
      <c r="L63" s="20" t="n">
        <f aca="false">L62+K63</f>
        <v>-95066.6666666668</v>
      </c>
    </row>
    <row r="64" customFormat="false" ht="15" hidden="false" customHeight="false" outlineLevel="0" collapsed="false">
      <c r="A64" s="21" t="n">
        <v>56</v>
      </c>
      <c r="B64" s="21" t="n">
        <f aca="false">IF(A64&lt;=הנחות!$B$27,1,0)</f>
        <v>1</v>
      </c>
      <c r="C64" s="20" t="n">
        <f aca="false">IF(הנחות!$B$19=1,IF(A64=1,0.2*'סעיפי מחיר'!$I$5,0)+IF(A64=הנחות!$B$21,0.8*'סעיפי מחיר'!$I$5,0)*B64,IF(A64=1,0.2*'סעיפי מחיר'!$I$5,0)+IF(AND(A64&gt;=הנחות!$B$21,A64&lt;הנחות!$B$21+36),0.8*'סעיפי מחיר'!$I$5/36,0)*B64)</f>
        <v>0</v>
      </c>
      <c r="D64" s="20" t="n">
        <f aca="false">IF(A64=1,'סעיפי מחיר'!$I$6*'סעיפי מחיר'!$G$6+'סעיפי מחיר'!$I$7*'סעיפי מחיר'!$G$7,0)</f>
        <v>0</v>
      </c>
      <c r="E64" s="20" t="n">
        <f aca="false">IF(A64&gt;=הנחות!$B$21,'סעיפי מחיר'!$I$9,0)*B64</f>
        <v>1200</v>
      </c>
      <c r="F64" s="20" t="n">
        <f aca="false">IF(A64&gt;36,'סעיפי מחיר'!$I$8/12,0)*B64</f>
        <v>1666.66666666667</v>
      </c>
      <c r="G64" s="20" t="n">
        <f aca="false">IF(A64&gt;=הנחות!$B$21,תוספות!$H$15,0)*B64</f>
        <v>512.5</v>
      </c>
      <c r="H64" s="20" t="n">
        <f aca="false">IF(A64=0,הנחות!$B$6,0)+IF(A64=1,הנחות!$B$4+הנחות!$B$5+'סעיפי מחיר'!$J$6*'סעיפי מחיר'!$G$6+'סעיפי מחיר'!$J$7*'סעיפי מחיר'!$G$7,0)</f>
        <v>0</v>
      </c>
      <c r="I64" s="20" t="n">
        <f aca="false">IF(A64&gt;=1,הנחות!$B$25,0)*B64</f>
        <v>3758.33333333333</v>
      </c>
      <c r="J64" s="20" t="n">
        <f aca="false">IF(A64&gt;=הנחות!$B$21,הנחות!$B$26,0)*B64</f>
        <v>1200</v>
      </c>
      <c r="K64" s="20" t="n">
        <f aca="false">C64+D64+E64+F64+G64-H64-I64-J64</f>
        <v>-1579.16666666667</v>
      </c>
      <c r="L64" s="20" t="n">
        <f aca="false">L63+K64</f>
        <v>-96645.8333333334</v>
      </c>
    </row>
    <row r="65" customFormat="false" ht="15" hidden="false" customHeight="false" outlineLevel="0" collapsed="false">
      <c r="A65" s="21" t="n">
        <v>57</v>
      </c>
      <c r="B65" s="21" t="n">
        <f aca="false">IF(A65&lt;=הנחות!$B$27,1,0)</f>
        <v>1</v>
      </c>
      <c r="C65" s="20" t="n">
        <f aca="false">IF(הנחות!$B$19=1,IF(A65=1,0.2*'סעיפי מחיר'!$I$5,0)+IF(A65=הנחות!$B$21,0.8*'סעיפי מחיר'!$I$5,0)*B65,IF(A65=1,0.2*'סעיפי מחיר'!$I$5,0)+IF(AND(A65&gt;=הנחות!$B$21,A65&lt;הנחות!$B$21+36),0.8*'סעיפי מחיר'!$I$5/36,0)*B65)</f>
        <v>0</v>
      </c>
      <c r="D65" s="20" t="n">
        <f aca="false">IF(A65=1,'סעיפי מחיר'!$I$6*'סעיפי מחיר'!$G$6+'סעיפי מחיר'!$I$7*'סעיפי מחיר'!$G$7,0)</f>
        <v>0</v>
      </c>
      <c r="E65" s="20" t="n">
        <f aca="false">IF(A65&gt;=הנחות!$B$21,'סעיפי מחיר'!$I$9,0)*B65</f>
        <v>1200</v>
      </c>
      <c r="F65" s="20" t="n">
        <f aca="false">IF(A65&gt;36,'סעיפי מחיר'!$I$8/12,0)*B65</f>
        <v>1666.66666666667</v>
      </c>
      <c r="G65" s="20" t="n">
        <f aca="false">IF(A65&gt;=הנחות!$B$21,תוספות!$H$15,0)*B65</f>
        <v>512.5</v>
      </c>
      <c r="H65" s="20" t="n">
        <f aca="false">IF(A65=0,הנחות!$B$6,0)+IF(A65=1,הנחות!$B$4+הנחות!$B$5+'סעיפי מחיר'!$J$6*'סעיפי מחיר'!$G$6+'סעיפי מחיר'!$J$7*'סעיפי מחיר'!$G$7,0)</f>
        <v>0</v>
      </c>
      <c r="I65" s="20" t="n">
        <f aca="false">IF(A65&gt;=1,הנחות!$B$25,0)*B65</f>
        <v>3758.33333333333</v>
      </c>
      <c r="J65" s="20" t="n">
        <f aca="false">IF(A65&gt;=הנחות!$B$21,הנחות!$B$26,0)*B65</f>
        <v>1200</v>
      </c>
      <c r="K65" s="20" t="n">
        <f aca="false">C65+D65+E65+F65+G65-H65-I65-J65</f>
        <v>-1579.16666666667</v>
      </c>
      <c r="L65" s="20" t="n">
        <f aca="false">L64+K65</f>
        <v>-98225.0000000001</v>
      </c>
    </row>
    <row r="66" customFormat="false" ht="15" hidden="false" customHeight="false" outlineLevel="0" collapsed="false">
      <c r="A66" s="21" t="n">
        <v>58</v>
      </c>
      <c r="B66" s="21" t="n">
        <f aca="false">IF(A66&lt;=הנחות!$B$27,1,0)</f>
        <v>1</v>
      </c>
      <c r="C66" s="20" t="n">
        <f aca="false">IF(הנחות!$B$19=1,IF(A66=1,0.2*'סעיפי מחיר'!$I$5,0)+IF(A66=הנחות!$B$21,0.8*'סעיפי מחיר'!$I$5,0)*B66,IF(A66=1,0.2*'סעיפי מחיר'!$I$5,0)+IF(AND(A66&gt;=הנחות!$B$21,A66&lt;הנחות!$B$21+36),0.8*'סעיפי מחיר'!$I$5/36,0)*B66)</f>
        <v>0</v>
      </c>
      <c r="D66" s="20" t="n">
        <f aca="false">IF(A66=1,'סעיפי מחיר'!$I$6*'סעיפי מחיר'!$G$6+'סעיפי מחיר'!$I$7*'סעיפי מחיר'!$G$7,0)</f>
        <v>0</v>
      </c>
      <c r="E66" s="20" t="n">
        <f aca="false">IF(A66&gt;=הנחות!$B$21,'סעיפי מחיר'!$I$9,0)*B66</f>
        <v>1200</v>
      </c>
      <c r="F66" s="20" t="n">
        <f aca="false">IF(A66&gt;36,'סעיפי מחיר'!$I$8/12,0)*B66</f>
        <v>1666.66666666667</v>
      </c>
      <c r="G66" s="20" t="n">
        <f aca="false">IF(A66&gt;=הנחות!$B$21,תוספות!$H$15,0)*B66</f>
        <v>512.5</v>
      </c>
      <c r="H66" s="20" t="n">
        <f aca="false">IF(A66=0,הנחות!$B$6,0)+IF(A66=1,הנחות!$B$4+הנחות!$B$5+'סעיפי מחיר'!$J$6*'סעיפי מחיר'!$G$6+'סעיפי מחיר'!$J$7*'סעיפי מחיר'!$G$7,0)</f>
        <v>0</v>
      </c>
      <c r="I66" s="20" t="n">
        <f aca="false">IF(A66&gt;=1,הנחות!$B$25,0)*B66</f>
        <v>3758.33333333333</v>
      </c>
      <c r="J66" s="20" t="n">
        <f aca="false">IF(A66&gt;=הנחות!$B$21,הנחות!$B$26,0)*B66</f>
        <v>1200</v>
      </c>
      <c r="K66" s="20" t="n">
        <f aca="false">C66+D66+E66+F66+G66-H66-I66-J66</f>
        <v>-1579.16666666667</v>
      </c>
      <c r="L66" s="20" t="n">
        <f aca="false">L65+K66</f>
        <v>-99804.1666666668</v>
      </c>
    </row>
    <row r="67" customFormat="false" ht="15" hidden="false" customHeight="false" outlineLevel="0" collapsed="false">
      <c r="A67" s="21" t="n">
        <v>59</v>
      </c>
      <c r="B67" s="21" t="n">
        <f aca="false">IF(A67&lt;=הנחות!$B$27,1,0)</f>
        <v>1</v>
      </c>
      <c r="C67" s="20" t="n">
        <f aca="false">IF(הנחות!$B$19=1,IF(A67=1,0.2*'סעיפי מחיר'!$I$5,0)+IF(A67=הנחות!$B$21,0.8*'סעיפי מחיר'!$I$5,0)*B67,IF(A67=1,0.2*'סעיפי מחיר'!$I$5,0)+IF(AND(A67&gt;=הנחות!$B$21,A67&lt;הנחות!$B$21+36),0.8*'סעיפי מחיר'!$I$5/36,0)*B67)</f>
        <v>0</v>
      </c>
      <c r="D67" s="20" t="n">
        <f aca="false">IF(A67=1,'סעיפי מחיר'!$I$6*'סעיפי מחיר'!$G$6+'סעיפי מחיר'!$I$7*'סעיפי מחיר'!$G$7,0)</f>
        <v>0</v>
      </c>
      <c r="E67" s="20" t="n">
        <f aca="false">IF(A67&gt;=הנחות!$B$21,'סעיפי מחיר'!$I$9,0)*B67</f>
        <v>1200</v>
      </c>
      <c r="F67" s="20" t="n">
        <f aca="false">IF(A67&gt;36,'סעיפי מחיר'!$I$8/12,0)*B67</f>
        <v>1666.66666666667</v>
      </c>
      <c r="G67" s="20" t="n">
        <f aca="false">IF(A67&gt;=הנחות!$B$21,תוספות!$H$15,0)*B67</f>
        <v>512.5</v>
      </c>
      <c r="H67" s="20" t="n">
        <f aca="false">IF(A67=0,הנחות!$B$6,0)+IF(A67=1,הנחות!$B$4+הנחות!$B$5+'סעיפי מחיר'!$J$6*'סעיפי מחיר'!$G$6+'סעיפי מחיר'!$J$7*'סעיפי מחיר'!$G$7,0)</f>
        <v>0</v>
      </c>
      <c r="I67" s="20" t="n">
        <f aca="false">IF(A67&gt;=1,הנחות!$B$25,0)*B67</f>
        <v>3758.33333333333</v>
      </c>
      <c r="J67" s="20" t="n">
        <f aca="false">IF(A67&gt;=הנחות!$B$21,הנחות!$B$26,0)*B67</f>
        <v>1200</v>
      </c>
      <c r="K67" s="20" t="n">
        <f aca="false">C67+D67+E67+F67+G67-H67-I67-J67</f>
        <v>-1579.16666666667</v>
      </c>
      <c r="L67" s="20" t="n">
        <f aca="false">L66+K67</f>
        <v>-101383.333333333</v>
      </c>
    </row>
    <row r="68" customFormat="false" ht="15" hidden="false" customHeight="false" outlineLevel="0" collapsed="false">
      <c r="A68" s="21" t="n">
        <v>60</v>
      </c>
      <c r="B68" s="21" t="n">
        <f aca="false">IF(A68&lt;=הנחות!$B$27,1,0)</f>
        <v>1</v>
      </c>
      <c r="C68" s="20" t="n">
        <f aca="false">IF(הנחות!$B$19=1,IF(A68=1,0.2*'סעיפי מחיר'!$I$5,0)+IF(A68=הנחות!$B$21,0.8*'סעיפי מחיר'!$I$5,0)*B68,IF(A68=1,0.2*'סעיפי מחיר'!$I$5,0)+IF(AND(A68&gt;=הנחות!$B$21,A68&lt;הנחות!$B$21+36),0.8*'סעיפי מחיר'!$I$5/36,0)*B68)</f>
        <v>0</v>
      </c>
      <c r="D68" s="20" t="n">
        <f aca="false">IF(A68=1,'סעיפי מחיר'!$I$6*'סעיפי מחיר'!$G$6+'סעיפי מחיר'!$I$7*'סעיפי מחיר'!$G$7,0)</f>
        <v>0</v>
      </c>
      <c r="E68" s="20" t="n">
        <f aca="false">IF(A68&gt;=הנחות!$B$21,'סעיפי מחיר'!$I$9,0)*B68</f>
        <v>1200</v>
      </c>
      <c r="F68" s="20" t="n">
        <f aca="false">IF(A68&gt;36,'סעיפי מחיר'!$I$8/12,0)*B68</f>
        <v>1666.66666666667</v>
      </c>
      <c r="G68" s="20" t="n">
        <f aca="false">IF(A68&gt;=הנחות!$B$21,תוספות!$H$15,0)*B68</f>
        <v>512.5</v>
      </c>
      <c r="H68" s="20" t="n">
        <f aca="false">IF(A68=0,הנחות!$B$6,0)+IF(A68=1,הנחות!$B$4+הנחות!$B$5+'סעיפי מחיר'!$J$6*'סעיפי מחיר'!$G$6+'סעיפי מחיר'!$J$7*'סעיפי מחיר'!$G$7,0)</f>
        <v>0</v>
      </c>
      <c r="I68" s="20" t="n">
        <f aca="false">IF(A68&gt;=1,הנחות!$B$25,0)*B68</f>
        <v>3758.33333333333</v>
      </c>
      <c r="J68" s="20" t="n">
        <f aca="false">IF(A68&gt;=הנחות!$B$21,הנחות!$B$26,0)*B68</f>
        <v>1200</v>
      </c>
      <c r="K68" s="20" t="n">
        <f aca="false">C68+D68+E68+F68+G68-H68-I68-J68</f>
        <v>-1579.16666666667</v>
      </c>
      <c r="L68" s="20" t="n">
        <f aca="false">L67+K68</f>
        <v>-102962.5</v>
      </c>
    </row>
    <row r="69" customFormat="false" ht="15" hidden="false" customHeight="false" outlineLevel="0" collapsed="false">
      <c r="A69" s="21" t="n">
        <v>61</v>
      </c>
      <c r="B69" s="21" t="n">
        <f aca="false">IF(A69&lt;=הנחות!$B$27,1,0)</f>
        <v>0</v>
      </c>
      <c r="C69" s="20" t="n">
        <f aca="false">IF(הנחות!$B$19=1,IF(A69=1,0.2*'סעיפי מחיר'!$I$5,0)+IF(A69=הנחות!$B$21,0.8*'סעיפי מחיר'!$I$5,0)*B69,IF(A69=1,0.2*'סעיפי מחיר'!$I$5,0)+IF(AND(A69&gt;=הנחות!$B$21,A69&lt;הנחות!$B$21+36),0.8*'סעיפי מחיר'!$I$5/36,0)*B69)</f>
        <v>0</v>
      </c>
      <c r="D69" s="20" t="n">
        <f aca="false">IF(A69=1,'סעיפי מחיר'!$I$6*'סעיפי מחיר'!$G$6+'סעיפי מחיר'!$I$7*'סעיפי מחיר'!$G$7,0)</f>
        <v>0</v>
      </c>
      <c r="E69" s="20" t="n">
        <f aca="false">IF(A69&gt;=הנחות!$B$21,'סעיפי מחיר'!$I$9,0)*B69</f>
        <v>0</v>
      </c>
      <c r="F69" s="20" t="n">
        <f aca="false">IF(A69&gt;36,'סעיפי מחיר'!$I$8/12,0)*B69</f>
        <v>0</v>
      </c>
      <c r="G69" s="20" t="n">
        <f aca="false">IF(A69&gt;=הנחות!$B$21,תוספות!$H$15,0)*B69</f>
        <v>0</v>
      </c>
      <c r="H69" s="20" t="n">
        <f aca="false">IF(A69=0,הנחות!$B$6,0)+IF(A69=1,הנחות!$B$4+הנחות!$B$5+'סעיפי מחיר'!$J$6*'סעיפי מחיר'!$G$6+'סעיפי מחיר'!$J$7*'סעיפי מחיר'!$G$7,0)</f>
        <v>0</v>
      </c>
      <c r="I69" s="20" t="n">
        <f aca="false">IF(A69&gt;=1,הנחות!$B$25,0)*B69</f>
        <v>0</v>
      </c>
      <c r="J69" s="20" t="n">
        <f aca="false">IF(A69&gt;=הנחות!$B$21,הנחות!$B$26,0)*B69</f>
        <v>0</v>
      </c>
      <c r="K69" s="20" t="n">
        <f aca="false">C69+D69+E69+F69+G69-H69-I69-J69</f>
        <v>0</v>
      </c>
      <c r="L69" s="20" t="n">
        <f aca="false">L68+K69</f>
        <v>-102962.5</v>
      </c>
    </row>
    <row r="70" customFormat="false" ht="15" hidden="false" customHeight="false" outlineLevel="0" collapsed="false">
      <c r="A70" s="21" t="n">
        <v>62</v>
      </c>
      <c r="B70" s="21" t="n">
        <f aca="false">IF(A70&lt;=הנחות!$B$27,1,0)</f>
        <v>0</v>
      </c>
      <c r="C70" s="20" t="n">
        <f aca="false">IF(הנחות!$B$19=1,IF(A70=1,0.2*'סעיפי מחיר'!$I$5,0)+IF(A70=הנחות!$B$21,0.8*'סעיפי מחיר'!$I$5,0)*B70,IF(A70=1,0.2*'סעיפי מחיר'!$I$5,0)+IF(AND(A70&gt;=הנחות!$B$21,A70&lt;הנחות!$B$21+36),0.8*'סעיפי מחיר'!$I$5/36,0)*B70)</f>
        <v>0</v>
      </c>
      <c r="D70" s="20" t="n">
        <f aca="false">IF(A70=1,'סעיפי מחיר'!$I$6*'סעיפי מחיר'!$G$6+'סעיפי מחיר'!$I$7*'סעיפי מחיר'!$G$7,0)</f>
        <v>0</v>
      </c>
      <c r="E70" s="20" t="n">
        <f aca="false">IF(A70&gt;=הנחות!$B$21,'סעיפי מחיר'!$I$9,0)*B70</f>
        <v>0</v>
      </c>
      <c r="F70" s="20" t="n">
        <f aca="false">IF(A70&gt;36,'סעיפי מחיר'!$I$8/12,0)*B70</f>
        <v>0</v>
      </c>
      <c r="G70" s="20" t="n">
        <f aca="false">IF(A70&gt;=הנחות!$B$21,תוספות!$H$15,0)*B70</f>
        <v>0</v>
      </c>
      <c r="H70" s="20" t="n">
        <f aca="false">IF(A70=0,הנחות!$B$6,0)+IF(A70=1,הנחות!$B$4+הנחות!$B$5+'סעיפי מחיר'!$J$6*'סעיפי מחיר'!$G$6+'סעיפי מחיר'!$J$7*'סעיפי מחיר'!$G$7,0)</f>
        <v>0</v>
      </c>
      <c r="I70" s="20" t="n">
        <f aca="false">IF(A70&gt;=1,הנחות!$B$25,0)*B70</f>
        <v>0</v>
      </c>
      <c r="J70" s="20" t="n">
        <f aca="false">IF(A70&gt;=הנחות!$B$21,הנחות!$B$26,0)*B70</f>
        <v>0</v>
      </c>
      <c r="K70" s="20" t="n">
        <f aca="false">C70+D70+E70+F70+G70-H70-I70-J70</f>
        <v>0</v>
      </c>
      <c r="L70" s="20" t="n">
        <f aca="false">L69+K70</f>
        <v>-102962.5</v>
      </c>
    </row>
    <row r="71" customFormat="false" ht="15" hidden="false" customHeight="false" outlineLevel="0" collapsed="false">
      <c r="A71" s="21" t="n">
        <v>63</v>
      </c>
      <c r="B71" s="21" t="n">
        <f aca="false">IF(A71&lt;=הנחות!$B$27,1,0)</f>
        <v>0</v>
      </c>
      <c r="C71" s="20" t="n">
        <f aca="false">IF(הנחות!$B$19=1,IF(A71=1,0.2*'סעיפי מחיר'!$I$5,0)+IF(A71=הנחות!$B$21,0.8*'סעיפי מחיר'!$I$5,0)*B71,IF(A71=1,0.2*'סעיפי מחיר'!$I$5,0)+IF(AND(A71&gt;=הנחות!$B$21,A71&lt;הנחות!$B$21+36),0.8*'סעיפי מחיר'!$I$5/36,0)*B71)</f>
        <v>0</v>
      </c>
      <c r="D71" s="20" t="n">
        <f aca="false">IF(A71=1,'סעיפי מחיר'!$I$6*'סעיפי מחיר'!$G$6+'סעיפי מחיר'!$I$7*'סעיפי מחיר'!$G$7,0)</f>
        <v>0</v>
      </c>
      <c r="E71" s="20" t="n">
        <f aca="false">IF(A71&gt;=הנחות!$B$21,'סעיפי מחיר'!$I$9,0)*B71</f>
        <v>0</v>
      </c>
      <c r="F71" s="20" t="n">
        <f aca="false">IF(A71&gt;36,'סעיפי מחיר'!$I$8/12,0)*B71</f>
        <v>0</v>
      </c>
      <c r="G71" s="20" t="n">
        <f aca="false">IF(A71&gt;=הנחות!$B$21,תוספות!$H$15,0)*B71</f>
        <v>0</v>
      </c>
      <c r="H71" s="20" t="n">
        <f aca="false">IF(A71=0,הנחות!$B$6,0)+IF(A71=1,הנחות!$B$4+הנחות!$B$5+'סעיפי מחיר'!$J$6*'סעיפי מחיר'!$G$6+'סעיפי מחיר'!$J$7*'סעיפי מחיר'!$G$7,0)</f>
        <v>0</v>
      </c>
      <c r="I71" s="20" t="n">
        <f aca="false">IF(A71&gt;=1,הנחות!$B$25,0)*B71</f>
        <v>0</v>
      </c>
      <c r="J71" s="20" t="n">
        <f aca="false">IF(A71&gt;=הנחות!$B$21,הנחות!$B$26,0)*B71</f>
        <v>0</v>
      </c>
      <c r="K71" s="20" t="n">
        <f aca="false">C71+D71+E71+F71+G71-H71-I71-J71</f>
        <v>0</v>
      </c>
      <c r="L71" s="20" t="n">
        <f aca="false">L70+K71</f>
        <v>-102962.5</v>
      </c>
    </row>
    <row r="72" customFormat="false" ht="15" hidden="false" customHeight="false" outlineLevel="0" collapsed="false">
      <c r="A72" s="21" t="n">
        <v>64</v>
      </c>
      <c r="B72" s="21" t="n">
        <f aca="false">IF(A72&lt;=הנחות!$B$27,1,0)</f>
        <v>0</v>
      </c>
      <c r="C72" s="20" t="n">
        <f aca="false">IF(הנחות!$B$19=1,IF(A72=1,0.2*'סעיפי מחיר'!$I$5,0)+IF(A72=הנחות!$B$21,0.8*'סעיפי מחיר'!$I$5,0)*B72,IF(A72=1,0.2*'סעיפי מחיר'!$I$5,0)+IF(AND(A72&gt;=הנחות!$B$21,A72&lt;הנחות!$B$21+36),0.8*'סעיפי מחיר'!$I$5/36,0)*B72)</f>
        <v>0</v>
      </c>
      <c r="D72" s="20" t="n">
        <f aca="false">IF(A72=1,'סעיפי מחיר'!$I$6*'סעיפי מחיר'!$G$6+'סעיפי מחיר'!$I$7*'סעיפי מחיר'!$G$7,0)</f>
        <v>0</v>
      </c>
      <c r="E72" s="20" t="n">
        <f aca="false">IF(A72&gt;=הנחות!$B$21,'סעיפי מחיר'!$I$9,0)*B72</f>
        <v>0</v>
      </c>
      <c r="F72" s="20" t="n">
        <f aca="false">IF(A72&gt;36,'סעיפי מחיר'!$I$8/12,0)*B72</f>
        <v>0</v>
      </c>
      <c r="G72" s="20" t="n">
        <f aca="false">IF(A72&gt;=הנחות!$B$21,תוספות!$H$15,0)*B72</f>
        <v>0</v>
      </c>
      <c r="H72" s="20" t="n">
        <f aca="false">IF(A72=0,הנחות!$B$6,0)+IF(A72=1,הנחות!$B$4+הנחות!$B$5+'סעיפי מחיר'!$J$6*'סעיפי מחיר'!$G$6+'סעיפי מחיר'!$J$7*'סעיפי מחיר'!$G$7,0)</f>
        <v>0</v>
      </c>
      <c r="I72" s="20" t="n">
        <f aca="false">IF(A72&gt;=1,הנחות!$B$25,0)*B72</f>
        <v>0</v>
      </c>
      <c r="J72" s="20" t="n">
        <f aca="false">IF(A72&gt;=הנחות!$B$21,הנחות!$B$26,0)*B72</f>
        <v>0</v>
      </c>
      <c r="K72" s="20" t="n">
        <f aca="false">C72+D72+E72+F72+G72-H72-I72-J72</f>
        <v>0</v>
      </c>
      <c r="L72" s="20" t="n">
        <f aca="false">L71+K72</f>
        <v>-102962.5</v>
      </c>
    </row>
    <row r="73" customFormat="false" ht="15" hidden="false" customHeight="false" outlineLevel="0" collapsed="false">
      <c r="A73" s="21" t="n">
        <v>65</v>
      </c>
      <c r="B73" s="21" t="n">
        <f aca="false">IF(A73&lt;=הנחות!$B$27,1,0)</f>
        <v>0</v>
      </c>
      <c r="C73" s="20" t="n">
        <f aca="false">IF(הנחות!$B$19=1,IF(A73=1,0.2*'סעיפי מחיר'!$I$5,0)+IF(A73=הנחות!$B$21,0.8*'סעיפי מחיר'!$I$5,0)*B73,IF(A73=1,0.2*'סעיפי מחיר'!$I$5,0)+IF(AND(A73&gt;=הנחות!$B$21,A73&lt;הנחות!$B$21+36),0.8*'סעיפי מחיר'!$I$5/36,0)*B73)</f>
        <v>0</v>
      </c>
      <c r="D73" s="20" t="n">
        <f aca="false">IF(A73=1,'סעיפי מחיר'!$I$6*'סעיפי מחיר'!$G$6+'סעיפי מחיר'!$I$7*'סעיפי מחיר'!$G$7,0)</f>
        <v>0</v>
      </c>
      <c r="E73" s="20" t="n">
        <f aca="false">IF(A73&gt;=הנחות!$B$21,'סעיפי מחיר'!$I$9,0)*B73</f>
        <v>0</v>
      </c>
      <c r="F73" s="20" t="n">
        <f aca="false">IF(A73&gt;36,'סעיפי מחיר'!$I$8/12,0)*B73</f>
        <v>0</v>
      </c>
      <c r="G73" s="20" t="n">
        <f aca="false">IF(A73&gt;=הנחות!$B$21,תוספות!$H$15,0)*B73</f>
        <v>0</v>
      </c>
      <c r="H73" s="20" t="n">
        <f aca="false">IF(A73=0,הנחות!$B$6,0)+IF(A73=1,הנחות!$B$4+הנחות!$B$5+'סעיפי מחיר'!$J$6*'סעיפי מחיר'!$G$6+'סעיפי מחיר'!$J$7*'סעיפי מחיר'!$G$7,0)</f>
        <v>0</v>
      </c>
      <c r="I73" s="20" t="n">
        <f aca="false">IF(A73&gt;=1,הנחות!$B$25,0)*B73</f>
        <v>0</v>
      </c>
      <c r="J73" s="20" t="n">
        <f aca="false">IF(A73&gt;=הנחות!$B$21,הנחות!$B$26,0)*B73</f>
        <v>0</v>
      </c>
      <c r="K73" s="20" t="n">
        <f aca="false">C73+D73+E73+F73+G73-H73-I73-J73</f>
        <v>0</v>
      </c>
      <c r="L73" s="20" t="n">
        <f aca="false">L72+K73</f>
        <v>-102962.5</v>
      </c>
    </row>
    <row r="74" customFormat="false" ht="15" hidden="false" customHeight="false" outlineLevel="0" collapsed="false">
      <c r="A74" s="21" t="n">
        <v>66</v>
      </c>
      <c r="B74" s="21" t="n">
        <f aca="false">IF(A74&lt;=הנחות!$B$27,1,0)</f>
        <v>0</v>
      </c>
      <c r="C74" s="20" t="n">
        <f aca="false">IF(הנחות!$B$19=1,IF(A74=1,0.2*'סעיפי מחיר'!$I$5,0)+IF(A74=הנחות!$B$21,0.8*'סעיפי מחיר'!$I$5,0)*B74,IF(A74=1,0.2*'סעיפי מחיר'!$I$5,0)+IF(AND(A74&gt;=הנחות!$B$21,A74&lt;הנחות!$B$21+36),0.8*'סעיפי מחיר'!$I$5/36,0)*B74)</f>
        <v>0</v>
      </c>
      <c r="D74" s="20" t="n">
        <f aca="false">IF(A74=1,'סעיפי מחיר'!$I$6*'סעיפי מחיר'!$G$6+'סעיפי מחיר'!$I$7*'סעיפי מחיר'!$G$7,0)</f>
        <v>0</v>
      </c>
      <c r="E74" s="20" t="n">
        <f aca="false">IF(A74&gt;=הנחות!$B$21,'סעיפי מחיר'!$I$9,0)*B74</f>
        <v>0</v>
      </c>
      <c r="F74" s="20" t="n">
        <f aca="false">IF(A74&gt;36,'סעיפי מחיר'!$I$8/12,0)*B74</f>
        <v>0</v>
      </c>
      <c r="G74" s="20" t="n">
        <f aca="false">IF(A74&gt;=הנחות!$B$21,תוספות!$H$15,0)*B74</f>
        <v>0</v>
      </c>
      <c r="H74" s="20" t="n">
        <f aca="false">IF(A74=0,הנחות!$B$6,0)+IF(A74=1,הנחות!$B$4+הנחות!$B$5+'סעיפי מחיר'!$J$6*'סעיפי מחיר'!$G$6+'סעיפי מחיר'!$J$7*'סעיפי מחיר'!$G$7,0)</f>
        <v>0</v>
      </c>
      <c r="I74" s="20" t="n">
        <f aca="false">IF(A74&gt;=1,הנחות!$B$25,0)*B74</f>
        <v>0</v>
      </c>
      <c r="J74" s="20" t="n">
        <f aca="false">IF(A74&gt;=הנחות!$B$21,הנחות!$B$26,0)*B74</f>
        <v>0</v>
      </c>
      <c r="K74" s="20" t="n">
        <f aca="false">C74+D74+E74+F74+G74-H74-I74-J74</f>
        <v>0</v>
      </c>
      <c r="L74" s="20" t="n">
        <f aca="false">L73+K74</f>
        <v>-102962.5</v>
      </c>
    </row>
    <row r="75" customFormat="false" ht="15" hidden="false" customHeight="false" outlineLevel="0" collapsed="false">
      <c r="A75" s="21" t="n">
        <v>67</v>
      </c>
      <c r="B75" s="21" t="n">
        <f aca="false">IF(A75&lt;=הנחות!$B$27,1,0)</f>
        <v>0</v>
      </c>
      <c r="C75" s="20" t="n">
        <f aca="false">IF(הנחות!$B$19=1,IF(A75=1,0.2*'סעיפי מחיר'!$I$5,0)+IF(A75=הנחות!$B$21,0.8*'סעיפי מחיר'!$I$5,0)*B75,IF(A75=1,0.2*'סעיפי מחיר'!$I$5,0)+IF(AND(A75&gt;=הנחות!$B$21,A75&lt;הנחות!$B$21+36),0.8*'סעיפי מחיר'!$I$5/36,0)*B75)</f>
        <v>0</v>
      </c>
      <c r="D75" s="20" t="n">
        <f aca="false">IF(A75=1,'סעיפי מחיר'!$I$6*'סעיפי מחיר'!$G$6+'סעיפי מחיר'!$I$7*'סעיפי מחיר'!$G$7,0)</f>
        <v>0</v>
      </c>
      <c r="E75" s="20" t="n">
        <f aca="false">IF(A75&gt;=הנחות!$B$21,'סעיפי מחיר'!$I$9,0)*B75</f>
        <v>0</v>
      </c>
      <c r="F75" s="20" t="n">
        <f aca="false">IF(A75&gt;36,'סעיפי מחיר'!$I$8/12,0)*B75</f>
        <v>0</v>
      </c>
      <c r="G75" s="20" t="n">
        <f aca="false">IF(A75&gt;=הנחות!$B$21,תוספות!$H$15,0)*B75</f>
        <v>0</v>
      </c>
      <c r="H75" s="20" t="n">
        <f aca="false">IF(A75=0,הנחות!$B$6,0)+IF(A75=1,הנחות!$B$4+הנחות!$B$5+'סעיפי מחיר'!$J$6*'סעיפי מחיר'!$G$6+'סעיפי מחיר'!$J$7*'סעיפי מחיר'!$G$7,0)</f>
        <v>0</v>
      </c>
      <c r="I75" s="20" t="n">
        <f aca="false">IF(A75&gt;=1,הנחות!$B$25,0)*B75</f>
        <v>0</v>
      </c>
      <c r="J75" s="20" t="n">
        <f aca="false">IF(A75&gt;=הנחות!$B$21,הנחות!$B$26,0)*B75</f>
        <v>0</v>
      </c>
      <c r="K75" s="20" t="n">
        <f aca="false">C75+D75+E75+F75+G75-H75-I75-J75</f>
        <v>0</v>
      </c>
      <c r="L75" s="20" t="n">
        <f aca="false">L74+K75</f>
        <v>-102962.5</v>
      </c>
    </row>
    <row r="76" customFormat="false" ht="15" hidden="false" customHeight="false" outlineLevel="0" collapsed="false">
      <c r="A76" s="21" t="n">
        <v>68</v>
      </c>
      <c r="B76" s="21" t="n">
        <f aca="false">IF(A76&lt;=הנחות!$B$27,1,0)</f>
        <v>0</v>
      </c>
      <c r="C76" s="20" t="n">
        <f aca="false">IF(הנחות!$B$19=1,IF(A76=1,0.2*'סעיפי מחיר'!$I$5,0)+IF(A76=הנחות!$B$21,0.8*'סעיפי מחיר'!$I$5,0)*B76,IF(A76=1,0.2*'סעיפי מחיר'!$I$5,0)+IF(AND(A76&gt;=הנחות!$B$21,A76&lt;הנחות!$B$21+36),0.8*'סעיפי מחיר'!$I$5/36,0)*B76)</f>
        <v>0</v>
      </c>
      <c r="D76" s="20" t="n">
        <f aca="false">IF(A76=1,'סעיפי מחיר'!$I$6*'סעיפי מחיר'!$G$6+'סעיפי מחיר'!$I$7*'סעיפי מחיר'!$G$7,0)</f>
        <v>0</v>
      </c>
      <c r="E76" s="20" t="n">
        <f aca="false">IF(A76&gt;=הנחות!$B$21,'סעיפי מחיר'!$I$9,0)*B76</f>
        <v>0</v>
      </c>
      <c r="F76" s="20" t="n">
        <f aca="false">IF(A76&gt;36,'סעיפי מחיר'!$I$8/12,0)*B76</f>
        <v>0</v>
      </c>
      <c r="G76" s="20" t="n">
        <f aca="false">IF(A76&gt;=הנחות!$B$21,תוספות!$H$15,0)*B76</f>
        <v>0</v>
      </c>
      <c r="H76" s="20" t="n">
        <f aca="false">IF(A76=0,הנחות!$B$6,0)+IF(A76=1,הנחות!$B$4+הנחות!$B$5+'סעיפי מחיר'!$J$6*'סעיפי מחיר'!$G$6+'סעיפי מחיר'!$J$7*'סעיפי מחיר'!$G$7,0)</f>
        <v>0</v>
      </c>
      <c r="I76" s="20" t="n">
        <f aca="false">IF(A76&gt;=1,הנחות!$B$25,0)*B76</f>
        <v>0</v>
      </c>
      <c r="J76" s="20" t="n">
        <f aca="false">IF(A76&gt;=הנחות!$B$21,הנחות!$B$26,0)*B76</f>
        <v>0</v>
      </c>
      <c r="K76" s="20" t="n">
        <f aca="false">C76+D76+E76+F76+G76-H76-I76-J76</f>
        <v>0</v>
      </c>
      <c r="L76" s="20" t="n">
        <f aca="false">L75+K76</f>
        <v>-102962.5</v>
      </c>
    </row>
    <row r="77" customFormat="false" ht="15" hidden="false" customHeight="false" outlineLevel="0" collapsed="false">
      <c r="A77" s="21" t="n">
        <v>69</v>
      </c>
      <c r="B77" s="21" t="n">
        <f aca="false">IF(A77&lt;=הנחות!$B$27,1,0)</f>
        <v>0</v>
      </c>
      <c r="C77" s="20" t="n">
        <f aca="false">IF(הנחות!$B$19=1,IF(A77=1,0.2*'סעיפי מחיר'!$I$5,0)+IF(A77=הנחות!$B$21,0.8*'סעיפי מחיר'!$I$5,0)*B77,IF(A77=1,0.2*'סעיפי מחיר'!$I$5,0)+IF(AND(A77&gt;=הנחות!$B$21,A77&lt;הנחות!$B$21+36),0.8*'סעיפי מחיר'!$I$5/36,0)*B77)</f>
        <v>0</v>
      </c>
      <c r="D77" s="20" t="n">
        <f aca="false">IF(A77=1,'סעיפי מחיר'!$I$6*'סעיפי מחיר'!$G$6+'סעיפי מחיר'!$I$7*'סעיפי מחיר'!$G$7,0)</f>
        <v>0</v>
      </c>
      <c r="E77" s="20" t="n">
        <f aca="false">IF(A77&gt;=הנחות!$B$21,'סעיפי מחיר'!$I$9,0)*B77</f>
        <v>0</v>
      </c>
      <c r="F77" s="20" t="n">
        <f aca="false">IF(A77&gt;36,'סעיפי מחיר'!$I$8/12,0)*B77</f>
        <v>0</v>
      </c>
      <c r="G77" s="20" t="n">
        <f aca="false">IF(A77&gt;=הנחות!$B$21,תוספות!$H$15,0)*B77</f>
        <v>0</v>
      </c>
      <c r="H77" s="20" t="n">
        <f aca="false">IF(A77=0,הנחות!$B$6,0)+IF(A77=1,הנחות!$B$4+הנחות!$B$5+'סעיפי מחיר'!$J$6*'סעיפי מחיר'!$G$6+'סעיפי מחיר'!$J$7*'סעיפי מחיר'!$G$7,0)</f>
        <v>0</v>
      </c>
      <c r="I77" s="20" t="n">
        <f aca="false">IF(A77&gt;=1,הנחות!$B$25,0)*B77</f>
        <v>0</v>
      </c>
      <c r="J77" s="20" t="n">
        <f aca="false">IF(A77&gt;=הנחות!$B$21,הנחות!$B$26,0)*B77</f>
        <v>0</v>
      </c>
      <c r="K77" s="20" t="n">
        <f aca="false">C77+D77+E77+F77+G77-H77-I77-J77</f>
        <v>0</v>
      </c>
      <c r="L77" s="20" t="n">
        <f aca="false">L76+K77</f>
        <v>-102962.5</v>
      </c>
    </row>
    <row r="78" customFormat="false" ht="15" hidden="false" customHeight="false" outlineLevel="0" collapsed="false">
      <c r="A78" s="21" t="n">
        <v>70</v>
      </c>
      <c r="B78" s="21" t="n">
        <f aca="false">IF(A78&lt;=הנחות!$B$27,1,0)</f>
        <v>0</v>
      </c>
      <c r="C78" s="20" t="n">
        <f aca="false">IF(הנחות!$B$19=1,IF(A78=1,0.2*'סעיפי מחיר'!$I$5,0)+IF(A78=הנחות!$B$21,0.8*'סעיפי מחיר'!$I$5,0)*B78,IF(A78=1,0.2*'סעיפי מחיר'!$I$5,0)+IF(AND(A78&gt;=הנחות!$B$21,A78&lt;הנחות!$B$21+36),0.8*'סעיפי מחיר'!$I$5/36,0)*B78)</f>
        <v>0</v>
      </c>
      <c r="D78" s="20" t="n">
        <f aca="false">IF(A78=1,'סעיפי מחיר'!$I$6*'סעיפי מחיר'!$G$6+'סעיפי מחיר'!$I$7*'סעיפי מחיר'!$G$7,0)</f>
        <v>0</v>
      </c>
      <c r="E78" s="20" t="n">
        <f aca="false">IF(A78&gt;=הנחות!$B$21,'סעיפי מחיר'!$I$9,0)*B78</f>
        <v>0</v>
      </c>
      <c r="F78" s="20" t="n">
        <f aca="false">IF(A78&gt;36,'סעיפי מחיר'!$I$8/12,0)*B78</f>
        <v>0</v>
      </c>
      <c r="G78" s="20" t="n">
        <f aca="false">IF(A78&gt;=הנחות!$B$21,תוספות!$H$15,0)*B78</f>
        <v>0</v>
      </c>
      <c r="H78" s="20" t="n">
        <f aca="false">IF(A78=0,הנחות!$B$6,0)+IF(A78=1,הנחות!$B$4+הנחות!$B$5+'סעיפי מחיר'!$J$6*'סעיפי מחיר'!$G$6+'סעיפי מחיר'!$J$7*'סעיפי מחיר'!$G$7,0)</f>
        <v>0</v>
      </c>
      <c r="I78" s="20" t="n">
        <f aca="false">IF(A78&gt;=1,הנחות!$B$25,0)*B78</f>
        <v>0</v>
      </c>
      <c r="J78" s="20" t="n">
        <f aca="false">IF(A78&gt;=הנחות!$B$21,הנחות!$B$26,0)*B78</f>
        <v>0</v>
      </c>
      <c r="K78" s="20" t="n">
        <f aca="false">C78+D78+E78+F78+G78-H78-I78-J78</f>
        <v>0</v>
      </c>
      <c r="L78" s="20" t="n">
        <f aca="false">L77+K78</f>
        <v>-102962.5</v>
      </c>
    </row>
    <row r="79" customFormat="false" ht="15" hidden="false" customHeight="false" outlineLevel="0" collapsed="false">
      <c r="A79" s="21" t="n">
        <v>71</v>
      </c>
      <c r="B79" s="21" t="n">
        <f aca="false">IF(A79&lt;=הנחות!$B$27,1,0)</f>
        <v>0</v>
      </c>
      <c r="C79" s="20" t="n">
        <f aca="false">IF(הנחות!$B$19=1,IF(A79=1,0.2*'סעיפי מחיר'!$I$5,0)+IF(A79=הנחות!$B$21,0.8*'סעיפי מחיר'!$I$5,0)*B79,IF(A79=1,0.2*'סעיפי מחיר'!$I$5,0)+IF(AND(A79&gt;=הנחות!$B$21,A79&lt;הנחות!$B$21+36),0.8*'סעיפי מחיר'!$I$5/36,0)*B79)</f>
        <v>0</v>
      </c>
      <c r="D79" s="20" t="n">
        <f aca="false">IF(A79=1,'סעיפי מחיר'!$I$6*'סעיפי מחיר'!$G$6+'סעיפי מחיר'!$I$7*'סעיפי מחיר'!$G$7,0)</f>
        <v>0</v>
      </c>
      <c r="E79" s="20" t="n">
        <f aca="false">IF(A79&gt;=הנחות!$B$21,'סעיפי מחיר'!$I$9,0)*B79</f>
        <v>0</v>
      </c>
      <c r="F79" s="20" t="n">
        <f aca="false">IF(A79&gt;36,'סעיפי מחיר'!$I$8/12,0)*B79</f>
        <v>0</v>
      </c>
      <c r="G79" s="20" t="n">
        <f aca="false">IF(A79&gt;=הנחות!$B$21,תוספות!$H$15,0)*B79</f>
        <v>0</v>
      </c>
      <c r="H79" s="20" t="n">
        <f aca="false">IF(A79=0,הנחות!$B$6,0)+IF(A79=1,הנחות!$B$4+הנחות!$B$5+'סעיפי מחיר'!$J$6*'סעיפי מחיר'!$G$6+'סעיפי מחיר'!$J$7*'סעיפי מחיר'!$G$7,0)</f>
        <v>0</v>
      </c>
      <c r="I79" s="20" t="n">
        <f aca="false">IF(A79&gt;=1,הנחות!$B$25,0)*B79</f>
        <v>0</v>
      </c>
      <c r="J79" s="20" t="n">
        <f aca="false">IF(A79&gt;=הנחות!$B$21,הנחות!$B$26,0)*B79</f>
        <v>0</v>
      </c>
      <c r="K79" s="20" t="n">
        <f aca="false">C79+D79+E79+F79+G79-H79-I79-J79</f>
        <v>0</v>
      </c>
      <c r="L79" s="20" t="n">
        <f aca="false">L78+K79</f>
        <v>-102962.5</v>
      </c>
    </row>
    <row r="80" customFormat="false" ht="15" hidden="false" customHeight="false" outlineLevel="0" collapsed="false">
      <c r="A80" s="21" t="n">
        <v>72</v>
      </c>
      <c r="B80" s="21" t="n">
        <f aca="false">IF(A80&lt;=הנחות!$B$27,1,0)</f>
        <v>0</v>
      </c>
      <c r="C80" s="20" t="n">
        <f aca="false">IF(הנחות!$B$19=1,IF(A80=1,0.2*'סעיפי מחיר'!$I$5,0)+IF(A80=הנחות!$B$21,0.8*'סעיפי מחיר'!$I$5,0)*B80,IF(A80=1,0.2*'סעיפי מחיר'!$I$5,0)+IF(AND(A80&gt;=הנחות!$B$21,A80&lt;הנחות!$B$21+36),0.8*'סעיפי מחיר'!$I$5/36,0)*B80)</f>
        <v>0</v>
      </c>
      <c r="D80" s="20" t="n">
        <f aca="false">IF(A80=1,'סעיפי מחיר'!$I$6*'סעיפי מחיר'!$G$6+'סעיפי מחיר'!$I$7*'סעיפי מחיר'!$G$7,0)</f>
        <v>0</v>
      </c>
      <c r="E80" s="20" t="n">
        <f aca="false">IF(A80&gt;=הנחות!$B$21,'סעיפי מחיר'!$I$9,0)*B80</f>
        <v>0</v>
      </c>
      <c r="F80" s="20" t="n">
        <f aca="false">IF(A80&gt;36,'סעיפי מחיר'!$I$8/12,0)*B80</f>
        <v>0</v>
      </c>
      <c r="G80" s="20" t="n">
        <f aca="false">IF(A80&gt;=הנחות!$B$21,תוספות!$H$15,0)*B80</f>
        <v>0</v>
      </c>
      <c r="H80" s="20" t="n">
        <f aca="false">IF(A80=0,הנחות!$B$6,0)+IF(A80=1,הנחות!$B$4+הנחות!$B$5+'סעיפי מחיר'!$J$6*'סעיפי מחיר'!$G$6+'סעיפי מחיר'!$J$7*'סעיפי מחיר'!$G$7,0)</f>
        <v>0</v>
      </c>
      <c r="I80" s="20" t="n">
        <f aca="false">IF(A80&gt;=1,הנחות!$B$25,0)*B80</f>
        <v>0</v>
      </c>
      <c r="J80" s="20" t="n">
        <f aca="false">IF(A80&gt;=הנחות!$B$21,הנחות!$B$26,0)*B80</f>
        <v>0</v>
      </c>
      <c r="K80" s="20" t="n">
        <f aca="false">C80+D80+E80+F80+G80-H80-I80-J80</f>
        <v>0</v>
      </c>
      <c r="L80" s="20" t="n">
        <f aca="false">L79+K80</f>
        <v>-102962.5</v>
      </c>
    </row>
    <row r="81" customFormat="false" ht="15" hidden="false" customHeight="false" outlineLevel="0" collapsed="false">
      <c r="A81" s="21" t="n">
        <v>73</v>
      </c>
      <c r="B81" s="21" t="n">
        <f aca="false">IF(A81&lt;=הנחות!$B$27,1,0)</f>
        <v>0</v>
      </c>
      <c r="C81" s="20" t="n">
        <f aca="false">IF(הנחות!$B$19=1,IF(A81=1,0.2*'סעיפי מחיר'!$I$5,0)+IF(A81=הנחות!$B$21,0.8*'סעיפי מחיר'!$I$5,0)*B81,IF(A81=1,0.2*'סעיפי מחיר'!$I$5,0)+IF(AND(A81&gt;=הנחות!$B$21,A81&lt;הנחות!$B$21+36),0.8*'סעיפי מחיר'!$I$5/36,0)*B81)</f>
        <v>0</v>
      </c>
      <c r="D81" s="20" t="n">
        <f aca="false">IF(A81=1,'סעיפי מחיר'!$I$6*'סעיפי מחיר'!$G$6+'סעיפי מחיר'!$I$7*'סעיפי מחיר'!$G$7,0)</f>
        <v>0</v>
      </c>
      <c r="E81" s="20" t="n">
        <f aca="false">IF(A81&gt;=הנחות!$B$21,'סעיפי מחיר'!$I$9,0)*B81</f>
        <v>0</v>
      </c>
      <c r="F81" s="20" t="n">
        <f aca="false">IF(A81&gt;36,'סעיפי מחיר'!$I$8/12,0)*B81</f>
        <v>0</v>
      </c>
      <c r="G81" s="20" t="n">
        <f aca="false">IF(A81&gt;=הנחות!$B$21,תוספות!$H$15,0)*B81</f>
        <v>0</v>
      </c>
      <c r="H81" s="20" t="n">
        <f aca="false">IF(A81=0,הנחות!$B$6,0)+IF(A81=1,הנחות!$B$4+הנחות!$B$5+'סעיפי מחיר'!$J$6*'סעיפי מחיר'!$G$6+'סעיפי מחיר'!$J$7*'סעיפי מחיר'!$G$7,0)</f>
        <v>0</v>
      </c>
      <c r="I81" s="20" t="n">
        <f aca="false">IF(A81&gt;=1,הנחות!$B$25,0)*B81</f>
        <v>0</v>
      </c>
      <c r="J81" s="20" t="n">
        <f aca="false">IF(A81&gt;=הנחות!$B$21,הנחות!$B$26,0)*B81</f>
        <v>0</v>
      </c>
      <c r="K81" s="20" t="n">
        <f aca="false">C81+D81+E81+F81+G81-H81-I81-J81</f>
        <v>0</v>
      </c>
      <c r="L81" s="20" t="n">
        <f aca="false">L80+K81</f>
        <v>-102962.5</v>
      </c>
    </row>
    <row r="82" customFormat="false" ht="15" hidden="false" customHeight="false" outlineLevel="0" collapsed="false">
      <c r="A82" s="21" t="n">
        <v>74</v>
      </c>
      <c r="B82" s="21" t="n">
        <f aca="false">IF(A82&lt;=הנחות!$B$27,1,0)</f>
        <v>0</v>
      </c>
      <c r="C82" s="20" t="n">
        <f aca="false">IF(הנחות!$B$19=1,IF(A82=1,0.2*'סעיפי מחיר'!$I$5,0)+IF(A82=הנחות!$B$21,0.8*'סעיפי מחיר'!$I$5,0)*B82,IF(A82=1,0.2*'סעיפי מחיר'!$I$5,0)+IF(AND(A82&gt;=הנחות!$B$21,A82&lt;הנחות!$B$21+36),0.8*'סעיפי מחיר'!$I$5/36,0)*B82)</f>
        <v>0</v>
      </c>
      <c r="D82" s="20" t="n">
        <f aca="false">IF(A82=1,'סעיפי מחיר'!$I$6*'סעיפי מחיר'!$G$6+'סעיפי מחיר'!$I$7*'סעיפי מחיר'!$G$7,0)</f>
        <v>0</v>
      </c>
      <c r="E82" s="20" t="n">
        <f aca="false">IF(A82&gt;=הנחות!$B$21,'סעיפי מחיר'!$I$9,0)*B82</f>
        <v>0</v>
      </c>
      <c r="F82" s="20" t="n">
        <f aca="false">IF(A82&gt;36,'סעיפי מחיר'!$I$8/12,0)*B82</f>
        <v>0</v>
      </c>
      <c r="G82" s="20" t="n">
        <f aca="false">IF(A82&gt;=הנחות!$B$21,תוספות!$H$15,0)*B82</f>
        <v>0</v>
      </c>
      <c r="H82" s="20" t="n">
        <f aca="false">IF(A82=0,הנחות!$B$6,0)+IF(A82=1,הנחות!$B$4+הנחות!$B$5+'סעיפי מחיר'!$J$6*'סעיפי מחיר'!$G$6+'סעיפי מחיר'!$J$7*'סעיפי מחיר'!$G$7,0)</f>
        <v>0</v>
      </c>
      <c r="I82" s="20" t="n">
        <f aca="false">IF(A82&gt;=1,הנחות!$B$25,0)*B82</f>
        <v>0</v>
      </c>
      <c r="J82" s="20" t="n">
        <f aca="false">IF(A82&gt;=הנחות!$B$21,הנחות!$B$26,0)*B82</f>
        <v>0</v>
      </c>
      <c r="K82" s="20" t="n">
        <f aca="false">C82+D82+E82+F82+G82-H82-I82-J82</f>
        <v>0</v>
      </c>
      <c r="L82" s="20" t="n">
        <f aca="false">L81+K82</f>
        <v>-102962.5</v>
      </c>
    </row>
    <row r="83" customFormat="false" ht="15" hidden="false" customHeight="false" outlineLevel="0" collapsed="false">
      <c r="A83" s="21" t="n">
        <v>75</v>
      </c>
      <c r="B83" s="21" t="n">
        <f aca="false">IF(A83&lt;=הנחות!$B$27,1,0)</f>
        <v>0</v>
      </c>
      <c r="C83" s="20" t="n">
        <f aca="false">IF(הנחות!$B$19=1,IF(A83=1,0.2*'סעיפי מחיר'!$I$5,0)+IF(A83=הנחות!$B$21,0.8*'סעיפי מחיר'!$I$5,0)*B83,IF(A83=1,0.2*'סעיפי מחיר'!$I$5,0)+IF(AND(A83&gt;=הנחות!$B$21,A83&lt;הנחות!$B$21+36),0.8*'סעיפי מחיר'!$I$5/36,0)*B83)</f>
        <v>0</v>
      </c>
      <c r="D83" s="20" t="n">
        <f aca="false">IF(A83=1,'סעיפי מחיר'!$I$6*'סעיפי מחיר'!$G$6+'סעיפי מחיר'!$I$7*'סעיפי מחיר'!$G$7,0)</f>
        <v>0</v>
      </c>
      <c r="E83" s="20" t="n">
        <f aca="false">IF(A83&gt;=הנחות!$B$21,'סעיפי מחיר'!$I$9,0)*B83</f>
        <v>0</v>
      </c>
      <c r="F83" s="20" t="n">
        <f aca="false">IF(A83&gt;36,'סעיפי מחיר'!$I$8/12,0)*B83</f>
        <v>0</v>
      </c>
      <c r="G83" s="20" t="n">
        <f aca="false">IF(A83&gt;=הנחות!$B$21,תוספות!$H$15,0)*B83</f>
        <v>0</v>
      </c>
      <c r="H83" s="20" t="n">
        <f aca="false">IF(A83=0,הנחות!$B$6,0)+IF(A83=1,הנחות!$B$4+הנחות!$B$5+'סעיפי מחיר'!$J$6*'סעיפי מחיר'!$G$6+'סעיפי מחיר'!$J$7*'סעיפי מחיר'!$G$7,0)</f>
        <v>0</v>
      </c>
      <c r="I83" s="20" t="n">
        <f aca="false">IF(A83&gt;=1,הנחות!$B$25,0)*B83</f>
        <v>0</v>
      </c>
      <c r="J83" s="20" t="n">
        <f aca="false">IF(A83&gt;=הנחות!$B$21,הנחות!$B$26,0)*B83</f>
        <v>0</v>
      </c>
      <c r="K83" s="20" t="n">
        <f aca="false">C83+D83+E83+F83+G83-H83-I83-J83</f>
        <v>0</v>
      </c>
      <c r="L83" s="20" t="n">
        <f aca="false">L82+K83</f>
        <v>-102962.5</v>
      </c>
    </row>
    <row r="84" customFormat="false" ht="15" hidden="false" customHeight="false" outlineLevel="0" collapsed="false">
      <c r="A84" s="21" t="n">
        <v>76</v>
      </c>
      <c r="B84" s="21" t="n">
        <f aca="false">IF(A84&lt;=הנחות!$B$27,1,0)</f>
        <v>0</v>
      </c>
      <c r="C84" s="20" t="n">
        <f aca="false">IF(הנחות!$B$19=1,IF(A84=1,0.2*'סעיפי מחיר'!$I$5,0)+IF(A84=הנחות!$B$21,0.8*'סעיפי מחיר'!$I$5,0)*B84,IF(A84=1,0.2*'סעיפי מחיר'!$I$5,0)+IF(AND(A84&gt;=הנחות!$B$21,A84&lt;הנחות!$B$21+36),0.8*'סעיפי מחיר'!$I$5/36,0)*B84)</f>
        <v>0</v>
      </c>
      <c r="D84" s="20" t="n">
        <f aca="false">IF(A84=1,'סעיפי מחיר'!$I$6*'סעיפי מחיר'!$G$6+'סעיפי מחיר'!$I$7*'סעיפי מחיר'!$G$7,0)</f>
        <v>0</v>
      </c>
      <c r="E84" s="20" t="n">
        <f aca="false">IF(A84&gt;=הנחות!$B$21,'סעיפי מחיר'!$I$9,0)*B84</f>
        <v>0</v>
      </c>
      <c r="F84" s="20" t="n">
        <f aca="false">IF(A84&gt;36,'סעיפי מחיר'!$I$8/12,0)*B84</f>
        <v>0</v>
      </c>
      <c r="G84" s="20" t="n">
        <f aca="false">IF(A84&gt;=הנחות!$B$21,תוספות!$H$15,0)*B84</f>
        <v>0</v>
      </c>
      <c r="H84" s="20" t="n">
        <f aca="false">IF(A84=0,הנחות!$B$6,0)+IF(A84=1,הנחות!$B$4+הנחות!$B$5+'סעיפי מחיר'!$J$6*'סעיפי מחיר'!$G$6+'סעיפי מחיר'!$J$7*'סעיפי מחיר'!$G$7,0)</f>
        <v>0</v>
      </c>
      <c r="I84" s="20" t="n">
        <f aca="false">IF(A84&gt;=1,הנחות!$B$25,0)*B84</f>
        <v>0</v>
      </c>
      <c r="J84" s="20" t="n">
        <f aca="false">IF(A84&gt;=הנחות!$B$21,הנחות!$B$26,0)*B84</f>
        <v>0</v>
      </c>
      <c r="K84" s="20" t="n">
        <f aca="false">C84+D84+E84+F84+G84-H84-I84-J84</f>
        <v>0</v>
      </c>
      <c r="L84" s="20" t="n">
        <f aca="false">L83+K84</f>
        <v>-102962.5</v>
      </c>
    </row>
    <row r="85" customFormat="false" ht="15" hidden="false" customHeight="false" outlineLevel="0" collapsed="false">
      <c r="A85" s="21" t="n">
        <v>77</v>
      </c>
      <c r="B85" s="21" t="n">
        <f aca="false">IF(A85&lt;=הנחות!$B$27,1,0)</f>
        <v>0</v>
      </c>
      <c r="C85" s="20" t="n">
        <f aca="false">IF(הנחות!$B$19=1,IF(A85=1,0.2*'סעיפי מחיר'!$I$5,0)+IF(A85=הנחות!$B$21,0.8*'סעיפי מחיר'!$I$5,0)*B85,IF(A85=1,0.2*'סעיפי מחיר'!$I$5,0)+IF(AND(A85&gt;=הנחות!$B$21,A85&lt;הנחות!$B$21+36),0.8*'סעיפי מחיר'!$I$5/36,0)*B85)</f>
        <v>0</v>
      </c>
      <c r="D85" s="20" t="n">
        <f aca="false">IF(A85=1,'סעיפי מחיר'!$I$6*'סעיפי מחיר'!$G$6+'סעיפי מחיר'!$I$7*'סעיפי מחיר'!$G$7,0)</f>
        <v>0</v>
      </c>
      <c r="E85" s="20" t="n">
        <f aca="false">IF(A85&gt;=הנחות!$B$21,'סעיפי מחיר'!$I$9,0)*B85</f>
        <v>0</v>
      </c>
      <c r="F85" s="20" t="n">
        <f aca="false">IF(A85&gt;36,'סעיפי מחיר'!$I$8/12,0)*B85</f>
        <v>0</v>
      </c>
      <c r="G85" s="20" t="n">
        <f aca="false">IF(A85&gt;=הנחות!$B$21,תוספות!$H$15,0)*B85</f>
        <v>0</v>
      </c>
      <c r="H85" s="20" t="n">
        <f aca="false">IF(A85=0,הנחות!$B$6,0)+IF(A85=1,הנחות!$B$4+הנחות!$B$5+'סעיפי מחיר'!$J$6*'סעיפי מחיר'!$G$6+'סעיפי מחיר'!$J$7*'סעיפי מחיר'!$G$7,0)</f>
        <v>0</v>
      </c>
      <c r="I85" s="20" t="n">
        <f aca="false">IF(A85&gt;=1,הנחות!$B$25,0)*B85</f>
        <v>0</v>
      </c>
      <c r="J85" s="20" t="n">
        <f aca="false">IF(A85&gt;=הנחות!$B$21,הנחות!$B$26,0)*B85</f>
        <v>0</v>
      </c>
      <c r="K85" s="20" t="n">
        <f aca="false">C85+D85+E85+F85+G85-H85-I85-J85</f>
        <v>0</v>
      </c>
      <c r="L85" s="20" t="n">
        <f aca="false">L84+K85</f>
        <v>-102962.5</v>
      </c>
    </row>
    <row r="86" customFormat="false" ht="15" hidden="false" customHeight="false" outlineLevel="0" collapsed="false">
      <c r="A86" s="21" t="n">
        <v>78</v>
      </c>
      <c r="B86" s="21" t="n">
        <f aca="false">IF(A86&lt;=הנחות!$B$27,1,0)</f>
        <v>0</v>
      </c>
      <c r="C86" s="20" t="n">
        <f aca="false">IF(הנחות!$B$19=1,IF(A86=1,0.2*'סעיפי מחיר'!$I$5,0)+IF(A86=הנחות!$B$21,0.8*'סעיפי מחיר'!$I$5,0)*B86,IF(A86=1,0.2*'סעיפי מחיר'!$I$5,0)+IF(AND(A86&gt;=הנחות!$B$21,A86&lt;הנחות!$B$21+36),0.8*'סעיפי מחיר'!$I$5/36,0)*B86)</f>
        <v>0</v>
      </c>
      <c r="D86" s="20" t="n">
        <f aca="false">IF(A86=1,'סעיפי מחיר'!$I$6*'סעיפי מחיר'!$G$6+'סעיפי מחיר'!$I$7*'סעיפי מחיר'!$G$7,0)</f>
        <v>0</v>
      </c>
      <c r="E86" s="20" t="n">
        <f aca="false">IF(A86&gt;=הנחות!$B$21,'סעיפי מחיר'!$I$9,0)*B86</f>
        <v>0</v>
      </c>
      <c r="F86" s="20" t="n">
        <f aca="false">IF(A86&gt;36,'סעיפי מחיר'!$I$8/12,0)*B86</f>
        <v>0</v>
      </c>
      <c r="G86" s="20" t="n">
        <f aca="false">IF(A86&gt;=הנחות!$B$21,תוספות!$H$15,0)*B86</f>
        <v>0</v>
      </c>
      <c r="H86" s="20" t="n">
        <f aca="false">IF(A86=0,הנחות!$B$6,0)+IF(A86=1,הנחות!$B$4+הנחות!$B$5+'סעיפי מחיר'!$J$6*'סעיפי מחיר'!$G$6+'סעיפי מחיר'!$J$7*'סעיפי מחיר'!$G$7,0)</f>
        <v>0</v>
      </c>
      <c r="I86" s="20" t="n">
        <f aca="false">IF(A86&gt;=1,הנחות!$B$25,0)*B86</f>
        <v>0</v>
      </c>
      <c r="J86" s="20" t="n">
        <f aca="false">IF(A86&gt;=הנחות!$B$21,הנחות!$B$26,0)*B86</f>
        <v>0</v>
      </c>
      <c r="K86" s="20" t="n">
        <f aca="false">C86+D86+E86+F86+G86-H86-I86-J86</f>
        <v>0</v>
      </c>
      <c r="L86" s="20" t="n">
        <f aca="false">L85+K86</f>
        <v>-102962.5</v>
      </c>
    </row>
    <row r="87" customFormat="false" ht="15" hidden="false" customHeight="false" outlineLevel="0" collapsed="false">
      <c r="A87" s="21" t="n">
        <v>79</v>
      </c>
      <c r="B87" s="21" t="n">
        <f aca="false">IF(A87&lt;=הנחות!$B$27,1,0)</f>
        <v>0</v>
      </c>
      <c r="C87" s="20" t="n">
        <f aca="false">IF(הנחות!$B$19=1,IF(A87=1,0.2*'סעיפי מחיר'!$I$5,0)+IF(A87=הנחות!$B$21,0.8*'סעיפי מחיר'!$I$5,0)*B87,IF(A87=1,0.2*'סעיפי מחיר'!$I$5,0)+IF(AND(A87&gt;=הנחות!$B$21,A87&lt;הנחות!$B$21+36),0.8*'סעיפי מחיר'!$I$5/36,0)*B87)</f>
        <v>0</v>
      </c>
      <c r="D87" s="20" t="n">
        <f aca="false">IF(A87=1,'סעיפי מחיר'!$I$6*'סעיפי מחיר'!$G$6+'סעיפי מחיר'!$I$7*'סעיפי מחיר'!$G$7,0)</f>
        <v>0</v>
      </c>
      <c r="E87" s="20" t="n">
        <f aca="false">IF(A87&gt;=הנחות!$B$21,'סעיפי מחיר'!$I$9,0)*B87</f>
        <v>0</v>
      </c>
      <c r="F87" s="20" t="n">
        <f aca="false">IF(A87&gt;36,'סעיפי מחיר'!$I$8/12,0)*B87</f>
        <v>0</v>
      </c>
      <c r="G87" s="20" t="n">
        <f aca="false">IF(A87&gt;=הנחות!$B$21,תוספות!$H$15,0)*B87</f>
        <v>0</v>
      </c>
      <c r="H87" s="20" t="n">
        <f aca="false">IF(A87=0,הנחות!$B$6,0)+IF(A87=1,הנחות!$B$4+הנחות!$B$5+'סעיפי מחיר'!$J$6*'סעיפי מחיר'!$G$6+'סעיפי מחיר'!$J$7*'סעיפי מחיר'!$G$7,0)</f>
        <v>0</v>
      </c>
      <c r="I87" s="20" t="n">
        <f aca="false">IF(A87&gt;=1,הנחות!$B$25,0)*B87</f>
        <v>0</v>
      </c>
      <c r="J87" s="20" t="n">
        <f aca="false">IF(A87&gt;=הנחות!$B$21,הנחות!$B$26,0)*B87</f>
        <v>0</v>
      </c>
      <c r="K87" s="20" t="n">
        <f aca="false">C87+D87+E87+F87+G87-H87-I87-J87</f>
        <v>0</v>
      </c>
      <c r="L87" s="20" t="n">
        <f aca="false">L86+K87</f>
        <v>-102962.5</v>
      </c>
    </row>
    <row r="88" customFormat="false" ht="15" hidden="false" customHeight="false" outlineLevel="0" collapsed="false">
      <c r="A88" s="21" t="n">
        <v>80</v>
      </c>
      <c r="B88" s="21" t="n">
        <f aca="false">IF(A88&lt;=הנחות!$B$27,1,0)</f>
        <v>0</v>
      </c>
      <c r="C88" s="20" t="n">
        <f aca="false">IF(הנחות!$B$19=1,IF(A88=1,0.2*'סעיפי מחיר'!$I$5,0)+IF(A88=הנחות!$B$21,0.8*'סעיפי מחיר'!$I$5,0)*B88,IF(A88=1,0.2*'סעיפי מחיר'!$I$5,0)+IF(AND(A88&gt;=הנחות!$B$21,A88&lt;הנחות!$B$21+36),0.8*'סעיפי מחיר'!$I$5/36,0)*B88)</f>
        <v>0</v>
      </c>
      <c r="D88" s="20" t="n">
        <f aca="false">IF(A88=1,'סעיפי מחיר'!$I$6*'סעיפי מחיר'!$G$6+'סעיפי מחיר'!$I$7*'סעיפי מחיר'!$G$7,0)</f>
        <v>0</v>
      </c>
      <c r="E88" s="20" t="n">
        <f aca="false">IF(A88&gt;=הנחות!$B$21,'סעיפי מחיר'!$I$9,0)*B88</f>
        <v>0</v>
      </c>
      <c r="F88" s="20" t="n">
        <f aca="false">IF(A88&gt;36,'סעיפי מחיר'!$I$8/12,0)*B88</f>
        <v>0</v>
      </c>
      <c r="G88" s="20" t="n">
        <f aca="false">IF(A88&gt;=הנחות!$B$21,תוספות!$H$15,0)*B88</f>
        <v>0</v>
      </c>
      <c r="H88" s="20" t="n">
        <f aca="false">IF(A88=0,הנחות!$B$6,0)+IF(A88=1,הנחות!$B$4+הנחות!$B$5+'סעיפי מחיר'!$J$6*'סעיפי מחיר'!$G$6+'סעיפי מחיר'!$J$7*'סעיפי מחיר'!$G$7,0)</f>
        <v>0</v>
      </c>
      <c r="I88" s="20" t="n">
        <f aca="false">IF(A88&gt;=1,הנחות!$B$25,0)*B88</f>
        <v>0</v>
      </c>
      <c r="J88" s="20" t="n">
        <f aca="false">IF(A88&gt;=הנחות!$B$21,הנחות!$B$26,0)*B88</f>
        <v>0</v>
      </c>
      <c r="K88" s="20" t="n">
        <f aca="false">C88+D88+E88+F88+G88-H88-I88-J88</f>
        <v>0</v>
      </c>
      <c r="L88" s="20" t="n">
        <f aca="false">L87+K88</f>
        <v>-102962.5</v>
      </c>
    </row>
    <row r="89" customFormat="false" ht="15" hidden="false" customHeight="false" outlineLevel="0" collapsed="false">
      <c r="A89" s="21" t="n">
        <v>81</v>
      </c>
      <c r="B89" s="21" t="n">
        <f aca="false">IF(A89&lt;=הנחות!$B$27,1,0)</f>
        <v>0</v>
      </c>
      <c r="C89" s="20" t="n">
        <f aca="false">IF(הנחות!$B$19=1,IF(A89=1,0.2*'סעיפי מחיר'!$I$5,0)+IF(A89=הנחות!$B$21,0.8*'סעיפי מחיר'!$I$5,0)*B89,IF(A89=1,0.2*'סעיפי מחיר'!$I$5,0)+IF(AND(A89&gt;=הנחות!$B$21,A89&lt;הנחות!$B$21+36),0.8*'סעיפי מחיר'!$I$5/36,0)*B89)</f>
        <v>0</v>
      </c>
      <c r="D89" s="20" t="n">
        <f aca="false">IF(A89=1,'סעיפי מחיר'!$I$6*'סעיפי מחיר'!$G$6+'סעיפי מחיר'!$I$7*'סעיפי מחיר'!$G$7,0)</f>
        <v>0</v>
      </c>
      <c r="E89" s="20" t="n">
        <f aca="false">IF(A89&gt;=הנחות!$B$21,'סעיפי מחיר'!$I$9,0)*B89</f>
        <v>0</v>
      </c>
      <c r="F89" s="20" t="n">
        <f aca="false">IF(A89&gt;36,'סעיפי מחיר'!$I$8/12,0)*B89</f>
        <v>0</v>
      </c>
      <c r="G89" s="20" t="n">
        <f aca="false">IF(A89&gt;=הנחות!$B$21,תוספות!$H$15,0)*B89</f>
        <v>0</v>
      </c>
      <c r="H89" s="20" t="n">
        <f aca="false">IF(A89=0,הנחות!$B$6,0)+IF(A89=1,הנחות!$B$4+הנחות!$B$5+'סעיפי מחיר'!$J$6*'סעיפי מחיר'!$G$6+'סעיפי מחיר'!$J$7*'סעיפי מחיר'!$G$7,0)</f>
        <v>0</v>
      </c>
      <c r="I89" s="20" t="n">
        <f aca="false">IF(A89&gt;=1,הנחות!$B$25,0)*B89</f>
        <v>0</v>
      </c>
      <c r="J89" s="20" t="n">
        <f aca="false">IF(A89&gt;=הנחות!$B$21,הנחות!$B$26,0)*B89</f>
        <v>0</v>
      </c>
      <c r="K89" s="20" t="n">
        <f aca="false">C89+D89+E89+F89+G89-H89-I89-J89</f>
        <v>0</v>
      </c>
      <c r="L89" s="20" t="n">
        <f aca="false">L88+K89</f>
        <v>-102962.5</v>
      </c>
    </row>
    <row r="90" customFormat="false" ht="15" hidden="false" customHeight="false" outlineLevel="0" collapsed="false">
      <c r="A90" s="21" t="n">
        <v>82</v>
      </c>
      <c r="B90" s="21" t="n">
        <f aca="false">IF(A90&lt;=הנחות!$B$27,1,0)</f>
        <v>0</v>
      </c>
      <c r="C90" s="20" t="n">
        <f aca="false">IF(הנחות!$B$19=1,IF(A90=1,0.2*'סעיפי מחיר'!$I$5,0)+IF(A90=הנחות!$B$21,0.8*'סעיפי מחיר'!$I$5,0)*B90,IF(A90=1,0.2*'סעיפי מחיר'!$I$5,0)+IF(AND(A90&gt;=הנחות!$B$21,A90&lt;הנחות!$B$21+36),0.8*'סעיפי מחיר'!$I$5/36,0)*B90)</f>
        <v>0</v>
      </c>
      <c r="D90" s="20" t="n">
        <f aca="false">IF(A90=1,'סעיפי מחיר'!$I$6*'סעיפי מחיר'!$G$6+'סעיפי מחיר'!$I$7*'סעיפי מחיר'!$G$7,0)</f>
        <v>0</v>
      </c>
      <c r="E90" s="20" t="n">
        <f aca="false">IF(A90&gt;=הנחות!$B$21,'סעיפי מחיר'!$I$9,0)*B90</f>
        <v>0</v>
      </c>
      <c r="F90" s="20" t="n">
        <f aca="false">IF(A90&gt;36,'סעיפי מחיר'!$I$8/12,0)*B90</f>
        <v>0</v>
      </c>
      <c r="G90" s="20" t="n">
        <f aca="false">IF(A90&gt;=הנחות!$B$21,תוספות!$H$15,0)*B90</f>
        <v>0</v>
      </c>
      <c r="H90" s="20" t="n">
        <f aca="false">IF(A90=0,הנחות!$B$6,0)+IF(A90=1,הנחות!$B$4+הנחות!$B$5+'סעיפי מחיר'!$J$6*'סעיפי מחיר'!$G$6+'סעיפי מחיר'!$J$7*'סעיפי מחיר'!$G$7,0)</f>
        <v>0</v>
      </c>
      <c r="I90" s="20" t="n">
        <f aca="false">IF(A90&gt;=1,הנחות!$B$25,0)*B90</f>
        <v>0</v>
      </c>
      <c r="J90" s="20" t="n">
        <f aca="false">IF(A90&gt;=הנחות!$B$21,הנחות!$B$26,0)*B90</f>
        <v>0</v>
      </c>
      <c r="K90" s="20" t="n">
        <f aca="false">C90+D90+E90+F90+G90-H90-I90-J90</f>
        <v>0</v>
      </c>
      <c r="L90" s="20" t="n">
        <f aca="false">L89+K90</f>
        <v>-102962.5</v>
      </c>
    </row>
    <row r="91" customFormat="false" ht="15" hidden="false" customHeight="false" outlineLevel="0" collapsed="false">
      <c r="A91" s="21" t="n">
        <v>83</v>
      </c>
      <c r="B91" s="21" t="n">
        <f aca="false">IF(A91&lt;=הנחות!$B$27,1,0)</f>
        <v>0</v>
      </c>
      <c r="C91" s="20" t="n">
        <f aca="false">IF(הנחות!$B$19=1,IF(A91=1,0.2*'סעיפי מחיר'!$I$5,0)+IF(A91=הנחות!$B$21,0.8*'סעיפי מחיר'!$I$5,0)*B91,IF(A91=1,0.2*'סעיפי מחיר'!$I$5,0)+IF(AND(A91&gt;=הנחות!$B$21,A91&lt;הנחות!$B$21+36),0.8*'סעיפי מחיר'!$I$5/36,0)*B91)</f>
        <v>0</v>
      </c>
      <c r="D91" s="20" t="n">
        <f aca="false">IF(A91=1,'סעיפי מחיר'!$I$6*'סעיפי מחיר'!$G$6+'סעיפי מחיר'!$I$7*'סעיפי מחיר'!$G$7,0)</f>
        <v>0</v>
      </c>
      <c r="E91" s="20" t="n">
        <f aca="false">IF(A91&gt;=הנחות!$B$21,'סעיפי מחיר'!$I$9,0)*B91</f>
        <v>0</v>
      </c>
      <c r="F91" s="20" t="n">
        <f aca="false">IF(A91&gt;36,'סעיפי מחיר'!$I$8/12,0)*B91</f>
        <v>0</v>
      </c>
      <c r="G91" s="20" t="n">
        <f aca="false">IF(A91&gt;=הנחות!$B$21,תוספות!$H$15,0)*B91</f>
        <v>0</v>
      </c>
      <c r="H91" s="20" t="n">
        <f aca="false">IF(A91=0,הנחות!$B$6,0)+IF(A91=1,הנחות!$B$4+הנחות!$B$5+'סעיפי מחיר'!$J$6*'סעיפי מחיר'!$G$6+'סעיפי מחיר'!$J$7*'סעיפי מחיר'!$G$7,0)</f>
        <v>0</v>
      </c>
      <c r="I91" s="20" t="n">
        <f aca="false">IF(A91&gt;=1,הנחות!$B$25,0)*B91</f>
        <v>0</v>
      </c>
      <c r="J91" s="20" t="n">
        <f aca="false">IF(A91&gt;=הנחות!$B$21,הנחות!$B$26,0)*B91</f>
        <v>0</v>
      </c>
      <c r="K91" s="20" t="n">
        <f aca="false">C91+D91+E91+F91+G91-H91-I91-J91</f>
        <v>0</v>
      </c>
      <c r="L91" s="20" t="n">
        <f aca="false">L90+K91</f>
        <v>-102962.5</v>
      </c>
    </row>
    <row r="92" customFormat="false" ht="15" hidden="false" customHeight="false" outlineLevel="0" collapsed="false">
      <c r="A92" s="21" t="n">
        <v>84</v>
      </c>
      <c r="B92" s="21" t="n">
        <f aca="false">IF(A92&lt;=הנחות!$B$27,1,0)</f>
        <v>0</v>
      </c>
      <c r="C92" s="20" t="n">
        <f aca="false">IF(הנחות!$B$19=1,IF(A92=1,0.2*'סעיפי מחיר'!$I$5,0)+IF(A92=הנחות!$B$21,0.8*'סעיפי מחיר'!$I$5,0)*B92,IF(A92=1,0.2*'סעיפי מחיר'!$I$5,0)+IF(AND(A92&gt;=הנחות!$B$21,A92&lt;הנחות!$B$21+36),0.8*'סעיפי מחיר'!$I$5/36,0)*B92)</f>
        <v>0</v>
      </c>
      <c r="D92" s="20" t="n">
        <f aca="false">IF(A92=1,'סעיפי מחיר'!$I$6*'סעיפי מחיר'!$G$6+'סעיפי מחיר'!$I$7*'סעיפי מחיר'!$G$7,0)</f>
        <v>0</v>
      </c>
      <c r="E92" s="20" t="n">
        <f aca="false">IF(A92&gt;=הנחות!$B$21,'סעיפי מחיר'!$I$9,0)*B92</f>
        <v>0</v>
      </c>
      <c r="F92" s="20" t="n">
        <f aca="false">IF(A92&gt;36,'סעיפי מחיר'!$I$8/12,0)*B92</f>
        <v>0</v>
      </c>
      <c r="G92" s="20" t="n">
        <f aca="false">IF(A92&gt;=הנחות!$B$21,תוספות!$H$15,0)*B92</f>
        <v>0</v>
      </c>
      <c r="H92" s="20" t="n">
        <f aca="false">IF(A92=0,הנחות!$B$6,0)+IF(A92=1,הנחות!$B$4+הנחות!$B$5+'סעיפי מחיר'!$J$6*'סעיפי מחיר'!$G$6+'סעיפי מחיר'!$J$7*'סעיפי מחיר'!$G$7,0)</f>
        <v>0</v>
      </c>
      <c r="I92" s="20" t="n">
        <f aca="false">IF(A92&gt;=1,הנחות!$B$25,0)*B92</f>
        <v>0</v>
      </c>
      <c r="J92" s="20" t="n">
        <f aca="false">IF(A92&gt;=הנחות!$B$21,הנחות!$B$26,0)*B92</f>
        <v>0</v>
      </c>
      <c r="K92" s="20" t="n">
        <f aca="false">C92+D92+E92+F92+G92-H92-I92-J92</f>
        <v>0</v>
      </c>
      <c r="L92" s="20" t="n">
        <f aca="false">L91+K92</f>
        <v>-102962.5</v>
      </c>
    </row>
  </sheetData>
  <mergeCells count="8">
    <mergeCell ref="A2:B2"/>
    <mergeCell ref="F2:G2"/>
    <mergeCell ref="A3:B3"/>
    <mergeCell ref="F3:G3"/>
    <mergeCell ref="A4:B4"/>
    <mergeCell ref="F4:G4"/>
    <mergeCell ref="A5:E6"/>
    <mergeCell ref="F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60"/>
  </cols>
  <sheetData>
    <row r="1" customFormat="false" ht="17.15" hidden="false" customHeight="false" outlineLevel="0" collapsed="false">
      <c r="A1" s="7" t="s">
        <v>156</v>
      </c>
    </row>
    <row r="3" customFormat="false" ht="45" hidden="false" customHeight="true" outlineLevel="0" collapsed="false">
      <c r="A3" s="8" t="s">
        <v>157</v>
      </c>
      <c r="B3" s="8" t="s">
        <v>18</v>
      </c>
      <c r="C3" s="8" t="s">
        <v>158</v>
      </c>
      <c r="D3" s="8" t="s">
        <v>159</v>
      </c>
    </row>
    <row r="4" customFormat="false" ht="42" hidden="false" customHeight="true" outlineLevel="0" collapsed="false">
      <c r="A4" s="9" t="s">
        <v>160</v>
      </c>
      <c r="B4" s="19" t="s">
        <v>161</v>
      </c>
      <c r="C4" s="9" t="s">
        <v>162</v>
      </c>
      <c r="D4" s="9" t="s">
        <v>163</v>
      </c>
    </row>
    <row r="5" customFormat="false" ht="42" hidden="false" customHeight="true" outlineLevel="0" collapsed="false">
      <c r="A5" s="9" t="s">
        <v>164</v>
      </c>
      <c r="B5" s="19" t="s">
        <v>165</v>
      </c>
      <c r="C5" s="9" t="s">
        <v>166</v>
      </c>
      <c r="D5" s="9" t="s">
        <v>167</v>
      </c>
    </row>
    <row r="6" customFormat="false" ht="42" hidden="false" customHeight="true" outlineLevel="0" collapsed="false">
      <c r="A6" s="9" t="s">
        <v>168</v>
      </c>
      <c r="B6" s="19" t="s">
        <v>169</v>
      </c>
      <c r="C6" s="9" t="s">
        <v>170</v>
      </c>
      <c r="D6" s="9" t="s">
        <v>163</v>
      </c>
    </row>
    <row r="7" customFormat="false" ht="42" hidden="false" customHeight="true" outlineLevel="0" collapsed="false">
      <c r="A7" s="9" t="s">
        <v>171</v>
      </c>
      <c r="B7" s="19" t="s">
        <v>172</v>
      </c>
      <c r="C7" s="9" t="s">
        <v>173</v>
      </c>
      <c r="D7" s="9" t="s">
        <v>174</v>
      </c>
    </row>
    <row r="8" customFormat="false" ht="42" hidden="false" customHeight="true" outlineLevel="0" collapsed="false">
      <c r="A8" s="9" t="s">
        <v>175</v>
      </c>
      <c r="B8" s="19" t="s">
        <v>176</v>
      </c>
      <c r="C8" s="9" t="s">
        <v>177</v>
      </c>
      <c r="D8" s="9" t="s">
        <v>178</v>
      </c>
    </row>
    <row r="9" customFormat="false" ht="42" hidden="false" customHeight="true" outlineLevel="0" collapsed="false">
      <c r="A9" s="9" t="s">
        <v>179</v>
      </c>
      <c r="B9" s="19" t="s">
        <v>180</v>
      </c>
      <c r="C9" s="9" t="s">
        <v>181</v>
      </c>
      <c r="D9" s="9" t="s">
        <v>182</v>
      </c>
    </row>
    <row r="10" customFormat="false" ht="42" hidden="false" customHeight="true" outlineLevel="0" collapsed="false">
      <c r="A10" s="9" t="s">
        <v>183</v>
      </c>
      <c r="B10" s="19" t="s">
        <v>184</v>
      </c>
      <c r="C10" s="9" t="s">
        <v>185</v>
      </c>
      <c r="D10" s="9" t="s">
        <v>186</v>
      </c>
    </row>
    <row r="11" customFormat="false" ht="42" hidden="false" customHeight="true" outlineLevel="0" collapsed="false">
      <c r="A11" s="9" t="s">
        <v>187</v>
      </c>
      <c r="B11" s="19" t="s">
        <v>188</v>
      </c>
      <c r="C11" s="9" t="s">
        <v>189</v>
      </c>
      <c r="D11" s="9" t="s">
        <v>190</v>
      </c>
    </row>
    <row r="12" customFormat="false" ht="42" hidden="false" customHeight="true" outlineLevel="0" collapsed="false">
      <c r="A12" s="9" t="s">
        <v>191</v>
      </c>
      <c r="B12" s="40" t="n">
        <f aca="false">'סעיפי מחיר'!P13</f>
        <v>9.25925925925926</v>
      </c>
      <c r="C12" s="9" t="s">
        <v>192</v>
      </c>
      <c r="D12" s="9" t="s">
        <v>193</v>
      </c>
    </row>
    <row r="13" customFormat="false" ht="42" hidden="false" customHeight="true" outlineLevel="0" collapsed="false">
      <c r="A13" s="9" t="s">
        <v>194</v>
      </c>
      <c r="B13" s="19" t="s">
        <v>195</v>
      </c>
      <c r="C13" s="9" t="s">
        <v>196</v>
      </c>
      <c r="D13" s="9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17.15" hidden="false" customHeight="false" outlineLevel="0" collapsed="false">
      <c r="A1" s="7" t="s">
        <v>198</v>
      </c>
    </row>
    <row r="3" customFormat="false" ht="45" hidden="false" customHeight="true" outlineLevel="0" collapsed="false">
      <c r="A3" s="8" t="s">
        <v>199</v>
      </c>
      <c r="B3" s="8" t="s">
        <v>72</v>
      </c>
      <c r="C3" s="8" t="s">
        <v>200</v>
      </c>
      <c r="D3" s="8" t="s">
        <v>201</v>
      </c>
      <c r="E3" s="8" t="s">
        <v>202</v>
      </c>
    </row>
    <row r="4" customFormat="false" ht="30" hidden="false" customHeight="true" outlineLevel="0" collapsed="false">
      <c r="A4" s="9" t="s">
        <v>203</v>
      </c>
      <c r="B4" s="41" t="n">
        <v>0.2</v>
      </c>
      <c r="C4" s="16" t="n">
        <v>3</v>
      </c>
      <c r="D4" s="42" t="n">
        <f aca="false">B4*C4</f>
        <v>0.6</v>
      </c>
      <c r="E4" s="9" t="s">
        <v>204</v>
      </c>
    </row>
    <row r="5" customFormat="false" ht="30" hidden="false" customHeight="true" outlineLevel="0" collapsed="false">
      <c r="A5" s="9" t="s">
        <v>205</v>
      </c>
      <c r="B5" s="41" t="n">
        <v>0.2</v>
      </c>
      <c r="C5" s="16" t="n">
        <v>2</v>
      </c>
      <c r="D5" s="42" t="n">
        <f aca="false">B5*C5</f>
        <v>0.4</v>
      </c>
      <c r="E5" s="9" t="s">
        <v>206</v>
      </c>
    </row>
    <row r="6" customFormat="false" ht="30" hidden="false" customHeight="true" outlineLevel="0" collapsed="false">
      <c r="A6" s="9" t="s">
        <v>207</v>
      </c>
      <c r="B6" s="41" t="n">
        <v>0.15</v>
      </c>
      <c r="C6" s="16" t="n">
        <v>4</v>
      </c>
      <c r="D6" s="42" t="n">
        <f aca="false">B6*C6</f>
        <v>0.6</v>
      </c>
      <c r="E6" s="9" t="s">
        <v>208</v>
      </c>
    </row>
    <row r="7" customFormat="false" ht="30" hidden="false" customHeight="true" outlineLevel="0" collapsed="false">
      <c r="A7" s="9" t="s">
        <v>209</v>
      </c>
      <c r="B7" s="41" t="n">
        <v>0.15</v>
      </c>
      <c r="C7" s="16" t="n">
        <v>2</v>
      </c>
      <c r="D7" s="42" t="n">
        <f aca="false">B7*C7</f>
        <v>0.3</v>
      </c>
      <c r="E7" s="9" t="s">
        <v>210</v>
      </c>
    </row>
    <row r="8" customFormat="false" ht="30" hidden="false" customHeight="true" outlineLevel="0" collapsed="false">
      <c r="A8" s="9" t="s">
        <v>211</v>
      </c>
      <c r="B8" s="41" t="n">
        <v>0.15</v>
      </c>
      <c r="C8" s="16" t="n">
        <v>4</v>
      </c>
      <c r="D8" s="42" t="n">
        <f aca="false">B8*C8</f>
        <v>0.6</v>
      </c>
      <c r="E8" s="9" t="s">
        <v>212</v>
      </c>
    </row>
    <row r="9" customFormat="false" ht="30" hidden="false" customHeight="true" outlineLevel="0" collapsed="false">
      <c r="A9" s="9" t="s">
        <v>213</v>
      </c>
      <c r="B9" s="41" t="n">
        <v>0.1</v>
      </c>
      <c r="C9" s="16" t="n">
        <v>3</v>
      </c>
      <c r="D9" s="42" t="n">
        <f aca="false">B9*C9</f>
        <v>0.3</v>
      </c>
      <c r="E9" s="9" t="s">
        <v>214</v>
      </c>
    </row>
    <row r="10" customFormat="false" ht="30" hidden="false" customHeight="true" outlineLevel="0" collapsed="false">
      <c r="A10" s="9" t="s">
        <v>215</v>
      </c>
      <c r="B10" s="41" t="n">
        <v>0.05</v>
      </c>
      <c r="C10" s="16" t="n">
        <v>3</v>
      </c>
      <c r="D10" s="42" t="n">
        <f aca="false">B10*C10</f>
        <v>0.15</v>
      </c>
      <c r="E10" s="9" t="s">
        <v>216</v>
      </c>
    </row>
    <row r="12" customFormat="false" ht="15" hidden="false" customHeight="false" outlineLevel="0" collapsed="false">
      <c r="A12" s="30" t="s">
        <v>217</v>
      </c>
      <c r="B12" s="43" t="n">
        <f aca="false">SUM(B4:B10)</f>
        <v>1</v>
      </c>
      <c r="D12" s="44" t="n">
        <f aca="false">SUM(D4:D10)</f>
        <v>2.95</v>
      </c>
      <c r="E12" s="30" t="str">
        <f aca="false">IF(C4&lt;3,"לא להגיש – תנאי סף",IF(D12&gt;=3.5,"להגיש",IF(D12&gt;=2.75,"להגיש בתנאים – לפי תשובות ההבהרה","לא להגיש")))</f>
        <v>להגיש בתנאים – לפי תשובות ההבהרה</v>
      </c>
    </row>
    <row r="13" customFormat="false" ht="15" hidden="false" customHeight="false" outlineLevel="0" collapsed="false">
      <c r="A13" s="19" t="s">
        <v>218</v>
      </c>
      <c r="D13" s="27" t="n">
        <f aca="false">תזרים!C4</f>
        <v>-65062.5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2026-10-11T19:21:19Z</dcterms:created>
  <dc:creator>openpyxl</dc:creator>
  <dc:description/>
  <dc:language>en-US</dc:language>
  <cp:lastModifiedBy/>
  <dcterms:modified xsi:type="dcterms:W3CDTF">2026-10-11T19:21:19Z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